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omePC\Desktop\KNECEXAM\lessons ict\"/>
    </mc:Choice>
  </mc:AlternateContent>
  <xr:revisionPtr revIDLastSave="0" documentId="8_{A5D5B329-C0F7-4177-A6C8-9A82BC08653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ashboard" sheetId="4" r:id="rId1"/>
    <sheet name="Sales_Data" sheetId="1" r:id="rId2"/>
    <sheet name="Read_Me" sheetId="2" r:id="rId3"/>
    <sheet name="Preview" sheetId="3" r:id="rId4"/>
  </sheets>
  <definedNames>
    <definedName name="_xlnm._FilterDatabase" localSheetId="1" hidden="1">Sales_Data!$A$1:$I$501</definedName>
  </definedNames>
  <calcPr calcId="191029"/>
  <pivotCaches>
    <pivotCache cacheId="4" r:id="rId5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501" i="1" l="1"/>
  <c r="L501" i="1"/>
  <c r="K501" i="1"/>
  <c r="J501" i="1"/>
  <c r="M500" i="1"/>
  <c r="L500" i="1"/>
  <c r="K500" i="1"/>
  <c r="J500" i="1"/>
  <c r="M499" i="1"/>
  <c r="L499" i="1"/>
  <c r="K499" i="1"/>
  <c r="J499" i="1"/>
  <c r="M498" i="1"/>
  <c r="L498" i="1"/>
  <c r="K498" i="1"/>
  <c r="J498" i="1"/>
  <c r="M497" i="1"/>
  <c r="L497" i="1"/>
  <c r="K497" i="1"/>
  <c r="J497" i="1"/>
  <c r="M496" i="1"/>
  <c r="L496" i="1"/>
  <c r="K496" i="1"/>
  <c r="J496" i="1"/>
  <c r="M495" i="1"/>
  <c r="L495" i="1"/>
  <c r="K495" i="1"/>
  <c r="J495" i="1"/>
  <c r="M494" i="1"/>
  <c r="L494" i="1"/>
  <c r="K494" i="1"/>
  <c r="J494" i="1"/>
  <c r="M493" i="1"/>
  <c r="L493" i="1"/>
  <c r="K493" i="1"/>
  <c r="J493" i="1"/>
  <c r="M492" i="1"/>
  <c r="L492" i="1"/>
  <c r="K492" i="1"/>
  <c r="J492" i="1"/>
  <c r="M491" i="1"/>
  <c r="L491" i="1"/>
  <c r="K491" i="1"/>
  <c r="J491" i="1"/>
  <c r="M490" i="1"/>
  <c r="L490" i="1"/>
  <c r="K490" i="1"/>
  <c r="J490" i="1"/>
  <c r="M489" i="1"/>
  <c r="L489" i="1"/>
  <c r="K489" i="1"/>
  <c r="J489" i="1"/>
  <c r="M488" i="1"/>
  <c r="L488" i="1"/>
  <c r="K488" i="1"/>
  <c r="J488" i="1"/>
  <c r="M487" i="1"/>
  <c r="L487" i="1"/>
  <c r="K487" i="1"/>
  <c r="J487" i="1"/>
  <c r="M486" i="1"/>
  <c r="L486" i="1"/>
  <c r="K486" i="1"/>
  <c r="J486" i="1"/>
  <c r="M485" i="1"/>
  <c r="L485" i="1"/>
  <c r="K485" i="1"/>
  <c r="J485" i="1"/>
  <c r="M484" i="1"/>
  <c r="L484" i="1"/>
  <c r="K484" i="1"/>
  <c r="J484" i="1"/>
  <c r="M483" i="1"/>
  <c r="L483" i="1"/>
  <c r="K483" i="1"/>
  <c r="J483" i="1"/>
  <c r="M482" i="1"/>
  <c r="L482" i="1"/>
  <c r="K482" i="1"/>
  <c r="J482" i="1"/>
  <c r="M481" i="1"/>
  <c r="L481" i="1"/>
  <c r="K481" i="1"/>
  <c r="J481" i="1"/>
  <c r="M480" i="1"/>
  <c r="L480" i="1"/>
  <c r="K480" i="1"/>
  <c r="J480" i="1"/>
  <c r="M479" i="1"/>
  <c r="L479" i="1"/>
  <c r="K479" i="1"/>
  <c r="J479" i="1"/>
  <c r="M478" i="1"/>
  <c r="L478" i="1"/>
  <c r="K478" i="1"/>
  <c r="J478" i="1"/>
  <c r="M477" i="1"/>
  <c r="L477" i="1"/>
  <c r="K477" i="1"/>
  <c r="J477" i="1"/>
  <c r="M476" i="1"/>
  <c r="L476" i="1"/>
  <c r="K476" i="1"/>
  <c r="J476" i="1"/>
  <c r="M475" i="1"/>
  <c r="L475" i="1"/>
  <c r="K475" i="1"/>
  <c r="J475" i="1"/>
  <c r="M474" i="1"/>
  <c r="L474" i="1"/>
  <c r="K474" i="1"/>
  <c r="J474" i="1"/>
  <c r="M473" i="1"/>
  <c r="L473" i="1"/>
  <c r="K473" i="1"/>
  <c r="J473" i="1"/>
  <c r="M472" i="1"/>
  <c r="L472" i="1"/>
  <c r="K472" i="1"/>
  <c r="J472" i="1"/>
  <c r="M471" i="1"/>
  <c r="L471" i="1"/>
  <c r="K471" i="1"/>
  <c r="J471" i="1"/>
  <c r="M470" i="1"/>
  <c r="L470" i="1"/>
  <c r="K470" i="1"/>
  <c r="J470" i="1"/>
  <c r="M469" i="1"/>
  <c r="L469" i="1"/>
  <c r="K469" i="1"/>
  <c r="J469" i="1"/>
  <c r="M468" i="1"/>
  <c r="L468" i="1"/>
  <c r="K468" i="1"/>
  <c r="J468" i="1"/>
  <c r="M467" i="1"/>
  <c r="L467" i="1"/>
  <c r="K467" i="1"/>
  <c r="J467" i="1"/>
  <c r="M466" i="1"/>
  <c r="L466" i="1"/>
  <c r="K466" i="1"/>
  <c r="J466" i="1"/>
  <c r="M465" i="1"/>
  <c r="L465" i="1"/>
  <c r="K465" i="1"/>
  <c r="J465" i="1"/>
  <c r="M464" i="1"/>
  <c r="L464" i="1"/>
  <c r="K464" i="1"/>
  <c r="J464" i="1"/>
  <c r="M463" i="1"/>
  <c r="L463" i="1"/>
  <c r="K463" i="1"/>
  <c r="J463" i="1"/>
  <c r="M462" i="1"/>
  <c r="L462" i="1"/>
  <c r="K462" i="1"/>
  <c r="J462" i="1"/>
  <c r="M461" i="1"/>
  <c r="L461" i="1"/>
  <c r="K461" i="1"/>
  <c r="J461" i="1"/>
  <c r="M460" i="1"/>
  <c r="L460" i="1"/>
  <c r="K460" i="1"/>
  <c r="J460" i="1"/>
  <c r="M459" i="1"/>
  <c r="L459" i="1"/>
  <c r="K459" i="1"/>
  <c r="J459" i="1"/>
  <c r="M458" i="1"/>
  <c r="L458" i="1"/>
  <c r="K458" i="1"/>
  <c r="J458" i="1"/>
  <c r="M457" i="1"/>
  <c r="L457" i="1"/>
  <c r="K457" i="1"/>
  <c r="J457" i="1"/>
  <c r="M456" i="1"/>
  <c r="L456" i="1"/>
  <c r="K456" i="1"/>
  <c r="J456" i="1"/>
  <c r="M455" i="1"/>
  <c r="L455" i="1"/>
  <c r="K455" i="1"/>
  <c r="J455" i="1"/>
  <c r="M454" i="1"/>
  <c r="L454" i="1"/>
  <c r="K454" i="1"/>
  <c r="J454" i="1"/>
  <c r="M453" i="1"/>
  <c r="L453" i="1"/>
  <c r="K453" i="1"/>
  <c r="J453" i="1"/>
  <c r="M452" i="1"/>
  <c r="L452" i="1"/>
  <c r="K452" i="1"/>
  <c r="J452" i="1"/>
  <c r="M451" i="1"/>
  <c r="L451" i="1"/>
  <c r="K451" i="1"/>
  <c r="J451" i="1"/>
  <c r="M450" i="1"/>
  <c r="L450" i="1"/>
  <c r="K450" i="1"/>
  <c r="J450" i="1"/>
  <c r="M449" i="1"/>
  <c r="L449" i="1"/>
  <c r="K449" i="1"/>
  <c r="J449" i="1"/>
  <c r="M448" i="1"/>
  <c r="L448" i="1"/>
  <c r="K448" i="1"/>
  <c r="J448" i="1"/>
  <c r="M447" i="1"/>
  <c r="L447" i="1"/>
  <c r="K447" i="1"/>
  <c r="J447" i="1"/>
  <c r="M446" i="1"/>
  <c r="L446" i="1"/>
  <c r="K446" i="1"/>
  <c r="J446" i="1"/>
  <c r="M445" i="1"/>
  <c r="L445" i="1"/>
  <c r="K445" i="1"/>
  <c r="J445" i="1"/>
  <c r="M444" i="1"/>
  <c r="L444" i="1"/>
  <c r="K444" i="1"/>
  <c r="J444" i="1"/>
  <c r="M443" i="1"/>
  <c r="L443" i="1"/>
  <c r="K443" i="1"/>
  <c r="J443" i="1"/>
  <c r="M442" i="1"/>
  <c r="L442" i="1"/>
  <c r="K442" i="1"/>
  <c r="J442" i="1"/>
  <c r="M441" i="1"/>
  <c r="L441" i="1"/>
  <c r="K441" i="1"/>
  <c r="J441" i="1"/>
  <c r="M440" i="1"/>
  <c r="L440" i="1"/>
  <c r="K440" i="1"/>
  <c r="J440" i="1"/>
  <c r="M439" i="1"/>
  <c r="L439" i="1"/>
  <c r="K439" i="1"/>
  <c r="J439" i="1"/>
  <c r="M438" i="1"/>
  <c r="L438" i="1"/>
  <c r="K438" i="1"/>
  <c r="J438" i="1"/>
  <c r="M437" i="1"/>
  <c r="L437" i="1"/>
  <c r="K437" i="1"/>
  <c r="J437" i="1"/>
  <c r="M436" i="1"/>
  <c r="L436" i="1"/>
  <c r="K436" i="1"/>
  <c r="J436" i="1"/>
  <c r="M435" i="1"/>
  <c r="L435" i="1"/>
  <c r="K435" i="1"/>
  <c r="J435" i="1"/>
  <c r="M434" i="1"/>
  <c r="L434" i="1"/>
  <c r="K434" i="1"/>
  <c r="J434" i="1"/>
  <c r="M433" i="1"/>
  <c r="L433" i="1"/>
  <c r="K433" i="1"/>
  <c r="J433" i="1"/>
  <c r="M432" i="1"/>
  <c r="L432" i="1"/>
  <c r="K432" i="1"/>
  <c r="J432" i="1"/>
  <c r="M431" i="1"/>
  <c r="L431" i="1"/>
  <c r="K431" i="1"/>
  <c r="J431" i="1"/>
  <c r="M430" i="1"/>
  <c r="L430" i="1"/>
  <c r="K430" i="1"/>
  <c r="J430" i="1"/>
  <c r="M429" i="1"/>
  <c r="L429" i="1"/>
  <c r="K429" i="1"/>
  <c r="J429" i="1"/>
  <c r="M428" i="1"/>
  <c r="L428" i="1"/>
  <c r="K428" i="1"/>
  <c r="J428" i="1"/>
  <c r="M427" i="1"/>
  <c r="L427" i="1"/>
  <c r="K427" i="1"/>
  <c r="J427" i="1"/>
  <c r="M426" i="1"/>
  <c r="L426" i="1"/>
  <c r="K426" i="1"/>
  <c r="J426" i="1"/>
  <c r="M425" i="1"/>
  <c r="L425" i="1"/>
  <c r="K425" i="1"/>
  <c r="J425" i="1"/>
  <c r="M424" i="1"/>
  <c r="L424" i="1"/>
  <c r="K424" i="1"/>
  <c r="J424" i="1"/>
  <c r="M423" i="1"/>
  <c r="L423" i="1"/>
  <c r="K423" i="1"/>
  <c r="J423" i="1"/>
  <c r="M422" i="1"/>
  <c r="L422" i="1"/>
  <c r="K422" i="1"/>
  <c r="J422" i="1"/>
  <c r="M421" i="1"/>
  <c r="L421" i="1"/>
  <c r="K421" i="1"/>
  <c r="J421" i="1"/>
  <c r="M420" i="1"/>
  <c r="L420" i="1"/>
  <c r="K420" i="1"/>
  <c r="J420" i="1"/>
  <c r="M419" i="1"/>
  <c r="L419" i="1"/>
  <c r="K419" i="1"/>
  <c r="J419" i="1"/>
  <c r="M418" i="1"/>
  <c r="L418" i="1"/>
  <c r="K418" i="1"/>
  <c r="J418" i="1"/>
  <c r="M417" i="1"/>
  <c r="L417" i="1"/>
  <c r="K417" i="1"/>
  <c r="J417" i="1"/>
  <c r="M416" i="1"/>
  <c r="L416" i="1"/>
  <c r="K416" i="1"/>
  <c r="J416" i="1"/>
  <c r="M415" i="1"/>
  <c r="L415" i="1"/>
  <c r="K415" i="1"/>
  <c r="J415" i="1"/>
  <c r="M414" i="1"/>
  <c r="L414" i="1"/>
  <c r="K414" i="1"/>
  <c r="J414" i="1"/>
  <c r="M413" i="1"/>
  <c r="L413" i="1"/>
  <c r="K413" i="1"/>
  <c r="J413" i="1"/>
  <c r="M412" i="1"/>
  <c r="L412" i="1"/>
  <c r="K412" i="1"/>
  <c r="J412" i="1"/>
  <c r="M411" i="1"/>
  <c r="L411" i="1"/>
  <c r="K411" i="1"/>
  <c r="J411" i="1"/>
  <c r="M410" i="1"/>
  <c r="L410" i="1"/>
  <c r="K410" i="1"/>
  <c r="J410" i="1"/>
  <c r="M409" i="1"/>
  <c r="L409" i="1"/>
  <c r="K409" i="1"/>
  <c r="J409" i="1"/>
  <c r="M408" i="1"/>
  <c r="L408" i="1"/>
  <c r="K408" i="1"/>
  <c r="J408" i="1"/>
  <c r="M407" i="1"/>
  <c r="L407" i="1"/>
  <c r="K407" i="1"/>
  <c r="J407" i="1"/>
  <c r="M406" i="1"/>
  <c r="L406" i="1"/>
  <c r="K406" i="1"/>
  <c r="J406" i="1"/>
  <c r="M405" i="1"/>
  <c r="L405" i="1"/>
  <c r="K405" i="1"/>
  <c r="J405" i="1"/>
  <c r="M404" i="1"/>
  <c r="L404" i="1"/>
  <c r="K404" i="1"/>
  <c r="J404" i="1"/>
  <c r="M403" i="1"/>
  <c r="L403" i="1"/>
  <c r="K403" i="1"/>
  <c r="J403" i="1"/>
  <c r="M402" i="1"/>
  <c r="L402" i="1"/>
  <c r="K402" i="1"/>
  <c r="J402" i="1"/>
  <c r="M401" i="1"/>
  <c r="L401" i="1"/>
  <c r="K401" i="1"/>
  <c r="J401" i="1"/>
  <c r="M400" i="1"/>
  <c r="L400" i="1"/>
  <c r="K400" i="1"/>
  <c r="J400" i="1"/>
  <c r="M399" i="1"/>
  <c r="L399" i="1"/>
  <c r="K399" i="1"/>
  <c r="J399" i="1"/>
  <c r="M398" i="1"/>
  <c r="L398" i="1"/>
  <c r="K398" i="1"/>
  <c r="J398" i="1"/>
  <c r="M397" i="1"/>
  <c r="L397" i="1"/>
  <c r="K397" i="1"/>
  <c r="J397" i="1"/>
  <c r="M396" i="1"/>
  <c r="L396" i="1"/>
  <c r="K396" i="1"/>
  <c r="J396" i="1"/>
  <c r="M395" i="1"/>
  <c r="L395" i="1"/>
  <c r="K395" i="1"/>
  <c r="J395" i="1"/>
  <c r="M394" i="1"/>
  <c r="L394" i="1"/>
  <c r="K394" i="1"/>
  <c r="J394" i="1"/>
  <c r="M393" i="1"/>
  <c r="L393" i="1"/>
  <c r="K393" i="1"/>
  <c r="J393" i="1"/>
  <c r="M392" i="1"/>
  <c r="L392" i="1"/>
  <c r="K392" i="1"/>
  <c r="J392" i="1"/>
  <c r="M391" i="1"/>
  <c r="L391" i="1"/>
  <c r="K391" i="1"/>
  <c r="J391" i="1"/>
  <c r="M390" i="1"/>
  <c r="L390" i="1"/>
  <c r="K390" i="1"/>
  <c r="J390" i="1"/>
  <c r="M389" i="1"/>
  <c r="L389" i="1"/>
  <c r="K389" i="1"/>
  <c r="J389" i="1"/>
  <c r="M388" i="1"/>
  <c r="L388" i="1"/>
  <c r="K388" i="1"/>
  <c r="J388" i="1"/>
  <c r="M387" i="1"/>
  <c r="L387" i="1"/>
  <c r="K387" i="1"/>
  <c r="J387" i="1"/>
  <c r="M386" i="1"/>
  <c r="L386" i="1"/>
  <c r="K386" i="1"/>
  <c r="J386" i="1"/>
  <c r="M385" i="1"/>
  <c r="L385" i="1"/>
  <c r="K385" i="1"/>
  <c r="J385" i="1"/>
  <c r="M384" i="1"/>
  <c r="L384" i="1"/>
  <c r="K384" i="1"/>
  <c r="J384" i="1"/>
  <c r="M383" i="1"/>
  <c r="L383" i="1"/>
  <c r="K383" i="1"/>
  <c r="J383" i="1"/>
  <c r="M382" i="1"/>
  <c r="L382" i="1"/>
  <c r="K382" i="1"/>
  <c r="J382" i="1"/>
  <c r="M381" i="1"/>
  <c r="L381" i="1"/>
  <c r="K381" i="1"/>
  <c r="J381" i="1"/>
  <c r="M380" i="1"/>
  <c r="L380" i="1"/>
  <c r="K380" i="1"/>
  <c r="J380" i="1"/>
  <c r="M379" i="1"/>
  <c r="L379" i="1"/>
  <c r="K379" i="1"/>
  <c r="J379" i="1"/>
  <c r="M378" i="1"/>
  <c r="L378" i="1"/>
  <c r="K378" i="1"/>
  <c r="J378" i="1"/>
  <c r="M377" i="1"/>
  <c r="L377" i="1"/>
  <c r="K377" i="1"/>
  <c r="J377" i="1"/>
  <c r="M376" i="1"/>
  <c r="L376" i="1"/>
  <c r="K376" i="1"/>
  <c r="J376" i="1"/>
  <c r="M375" i="1"/>
  <c r="L375" i="1"/>
  <c r="K375" i="1"/>
  <c r="J375" i="1"/>
  <c r="M374" i="1"/>
  <c r="L374" i="1"/>
  <c r="K374" i="1"/>
  <c r="J374" i="1"/>
  <c r="M373" i="1"/>
  <c r="L373" i="1"/>
  <c r="K373" i="1"/>
  <c r="J373" i="1"/>
  <c r="M372" i="1"/>
  <c r="L372" i="1"/>
  <c r="K372" i="1"/>
  <c r="J372" i="1"/>
  <c r="M371" i="1"/>
  <c r="L371" i="1"/>
  <c r="K371" i="1"/>
  <c r="J371" i="1"/>
  <c r="M370" i="1"/>
  <c r="L370" i="1"/>
  <c r="K370" i="1"/>
  <c r="J370" i="1"/>
  <c r="M369" i="1"/>
  <c r="L369" i="1"/>
  <c r="K369" i="1"/>
  <c r="J369" i="1"/>
  <c r="M368" i="1"/>
  <c r="L368" i="1"/>
  <c r="K368" i="1"/>
  <c r="J368" i="1"/>
  <c r="M367" i="1"/>
  <c r="L367" i="1"/>
  <c r="K367" i="1"/>
  <c r="J367" i="1"/>
  <c r="M366" i="1"/>
  <c r="L366" i="1"/>
  <c r="K366" i="1"/>
  <c r="J366" i="1"/>
  <c r="M365" i="1"/>
  <c r="L365" i="1"/>
  <c r="K365" i="1"/>
  <c r="J365" i="1"/>
  <c r="M364" i="1"/>
  <c r="L364" i="1"/>
  <c r="K364" i="1"/>
  <c r="J364" i="1"/>
  <c r="M363" i="1"/>
  <c r="L363" i="1"/>
  <c r="K363" i="1"/>
  <c r="J363" i="1"/>
  <c r="M362" i="1"/>
  <c r="L362" i="1"/>
  <c r="K362" i="1"/>
  <c r="J362" i="1"/>
  <c r="M361" i="1"/>
  <c r="L361" i="1"/>
  <c r="K361" i="1"/>
  <c r="J361" i="1"/>
  <c r="M360" i="1"/>
  <c r="L360" i="1"/>
  <c r="K360" i="1"/>
  <c r="J360" i="1"/>
  <c r="M359" i="1"/>
  <c r="L359" i="1"/>
  <c r="K359" i="1"/>
  <c r="J359" i="1"/>
  <c r="M358" i="1"/>
  <c r="L358" i="1"/>
  <c r="K358" i="1"/>
  <c r="J358" i="1"/>
  <c r="M357" i="1"/>
  <c r="L357" i="1"/>
  <c r="K357" i="1"/>
  <c r="J357" i="1"/>
  <c r="M356" i="1"/>
  <c r="L356" i="1"/>
  <c r="K356" i="1"/>
  <c r="J356" i="1"/>
  <c r="M355" i="1"/>
  <c r="L355" i="1"/>
  <c r="K355" i="1"/>
  <c r="J355" i="1"/>
  <c r="M354" i="1"/>
  <c r="L354" i="1"/>
  <c r="K354" i="1"/>
  <c r="J354" i="1"/>
  <c r="M353" i="1"/>
  <c r="L353" i="1"/>
  <c r="K353" i="1"/>
  <c r="J353" i="1"/>
  <c r="M352" i="1"/>
  <c r="L352" i="1"/>
  <c r="K352" i="1"/>
  <c r="J352" i="1"/>
  <c r="M351" i="1"/>
  <c r="L351" i="1"/>
  <c r="K351" i="1"/>
  <c r="J351" i="1"/>
  <c r="M350" i="1"/>
  <c r="L350" i="1"/>
  <c r="K350" i="1"/>
  <c r="J350" i="1"/>
  <c r="M349" i="1"/>
  <c r="L349" i="1"/>
  <c r="K349" i="1"/>
  <c r="J349" i="1"/>
  <c r="M348" i="1"/>
  <c r="L348" i="1"/>
  <c r="K348" i="1"/>
  <c r="J348" i="1"/>
  <c r="M347" i="1"/>
  <c r="L347" i="1"/>
  <c r="K347" i="1"/>
  <c r="J347" i="1"/>
  <c r="M346" i="1"/>
  <c r="L346" i="1"/>
  <c r="K346" i="1"/>
  <c r="J346" i="1"/>
  <c r="M345" i="1"/>
  <c r="L345" i="1"/>
  <c r="K345" i="1"/>
  <c r="J345" i="1"/>
  <c r="M344" i="1"/>
  <c r="L344" i="1"/>
  <c r="K344" i="1"/>
  <c r="J344" i="1"/>
  <c r="M343" i="1"/>
  <c r="L343" i="1"/>
  <c r="K343" i="1"/>
  <c r="J343" i="1"/>
  <c r="M342" i="1"/>
  <c r="L342" i="1"/>
  <c r="K342" i="1"/>
  <c r="J342" i="1"/>
  <c r="M341" i="1"/>
  <c r="L341" i="1"/>
  <c r="K341" i="1"/>
  <c r="J341" i="1"/>
  <c r="M340" i="1"/>
  <c r="L340" i="1"/>
  <c r="K340" i="1"/>
  <c r="J340" i="1"/>
  <c r="M339" i="1"/>
  <c r="L339" i="1"/>
  <c r="K339" i="1"/>
  <c r="J339" i="1"/>
  <c r="M338" i="1"/>
  <c r="L338" i="1"/>
  <c r="K338" i="1"/>
  <c r="J338" i="1"/>
  <c r="M337" i="1"/>
  <c r="L337" i="1"/>
  <c r="K337" i="1"/>
  <c r="J337" i="1"/>
  <c r="M336" i="1"/>
  <c r="L336" i="1"/>
  <c r="K336" i="1"/>
  <c r="J336" i="1"/>
  <c r="M335" i="1"/>
  <c r="L335" i="1"/>
  <c r="K335" i="1"/>
  <c r="J335" i="1"/>
  <c r="M334" i="1"/>
  <c r="L334" i="1"/>
  <c r="K334" i="1"/>
  <c r="J334" i="1"/>
  <c r="M333" i="1"/>
  <c r="L333" i="1"/>
  <c r="K333" i="1"/>
  <c r="J333" i="1"/>
  <c r="M332" i="1"/>
  <c r="L332" i="1"/>
  <c r="K332" i="1"/>
  <c r="J332" i="1"/>
  <c r="M331" i="1"/>
  <c r="L331" i="1"/>
  <c r="K331" i="1"/>
  <c r="J331" i="1"/>
  <c r="M330" i="1"/>
  <c r="L330" i="1"/>
  <c r="K330" i="1"/>
  <c r="J330" i="1"/>
  <c r="M329" i="1"/>
  <c r="L329" i="1"/>
  <c r="K329" i="1"/>
  <c r="J329" i="1"/>
  <c r="M328" i="1"/>
  <c r="L328" i="1"/>
  <c r="K328" i="1"/>
  <c r="J328" i="1"/>
  <c r="M327" i="1"/>
  <c r="L327" i="1"/>
  <c r="K327" i="1"/>
  <c r="J327" i="1"/>
  <c r="M326" i="1"/>
  <c r="L326" i="1"/>
  <c r="K326" i="1"/>
  <c r="J326" i="1"/>
  <c r="M325" i="1"/>
  <c r="L325" i="1"/>
  <c r="K325" i="1"/>
  <c r="J325" i="1"/>
  <c r="M324" i="1"/>
  <c r="L324" i="1"/>
  <c r="K324" i="1"/>
  <c r="J324" i="1"/>
  <c r="M323" i="1"/>
  <c r="L323" i="1"/>
  <c r="K323" i="1"/>
  <c r="J323" i="1"/>
  <c r="M322" i="1"/>
  <c r="L322" i="1"/>
  <c r="K322" i="1"/>
  <c r="J322" i="1"/>
  <c r="M321" i="1"/>
  <c r="L321" i="1"/>
  <c r="K321" i="1"/>
  <c r="J321" i="1"/>
  <c r="M320" i="1"/>
  <c r="L320" i="1"/>
  <c r="K320" i="1"/>
  <c r="J320" i="1"/>
  <c r="M319" i="1"/>
  <c r="L319" i="1"/>
  <c r="K319" i="1"/>
  <c r="J319" i="1"/>
  <c r="M318" i="1"/>
  <c r="L318" i="1"/>
  <c r="K318" i="1"/>
  <c r="J318" i="1"/>
  <c r="M317" i="1"/>
  <c r="L317" i="1"/>
  <c r="K317" i="1"/>
  <c r="J317" i="1"/>
  <c r="M316" i="1"/>
  <c r="L316" i="1"/>
  <c r="K316" i="1"/>
  <c r="J316" i="1"/>
  <c r="M315" i="1"/>
  <c r="L315" i="1"/>
  <c r="K315" i="1"/>
  <c r="J315" i="1"/>
  <c r="M314" i="1"/>
  <c r="L314" i="1"/>
  <c r="K314" i="1"/>
  <c r="J314" i="1"/>
  <c r="M313" i="1"/>
  <c r="L313" i="1"/>
  <c r="K313" i="1"/>
  <c r="J313" i="1"/>
  <c r="M312" i="1"/>
  <c r="L312" i="1"/>
  <c r="K312" i="1"/>
  <c r="J312" i="1"/>
  <c r="M311" i="1"/>
  <c r="L311" i="1"/>
  <c r="K311" i="1"/>
  <c r="J311" i="1"/>
  <c r="M310" i="1"/>
  <c r="L310" i="1"/>
  <c r="K310" i="1"/>
  <c r="J310" i="1"/>
  <c r="M309" i="1"/>
  <c r="L309" i="1"/>
  <c r="K309" i="1"/>
  <c r="J309" i="1"/>
  <c r="M308" i="1"/>
  <c r="L308" i="1"/>
  <c r="K308" i="1"/>
  <c r="J308" i="1"/>
  <c r="M307" i="1"/>
  <c r="L307" i="1"/>
  <c r="K307" i="1"/>
  <c r="J307" i="1"/>
  <c r="M306" i="1"/>
  <c r="L306" i="1"/>
  <c r="K306" i="1"/>
  <c r="J306" i="1"/>
  <c r="M305" i="1"/>
  <c r="L305" i="1"/>
  <c r="K305" i="1"/>
  <c r="J305" i="1"/>
  <c r="M304" i="1"/>
  <c r="L304" i="1"/>
  <c r="K304" i="1"/>
  <c r="J304" i="1"/>
  <c r="M303" i="1"/>
  <c r="L303" i="1"/>
  <c r="K303" i="1"/>
  <c r="J303" i="1"/>
  <c r="M302" i="1"/>
  <c r="L302" i="1"/>
  <c r="K302" i="1"/>
  <c r="J302" i="1"/>
  <c r="M301" i="1"/>
  <c r="L301" i="1"/>
  <c r="K301" i="1"/>
  <c r="J301" i="1"/>
  <c r="M300" i="1"/>
  <c r="L300" i="1"/>
  <c r="K300" i="1"/>
  <c r="J300" i="1"/>
  <c r="M299" i="1"/>
  <c r="L299" i="1"/>
  <c r="K299" i="1"/>
  <c r="J299" i="1"/>
  <c r="M298" i="1"/>
  <c r="L298" i="1"/>
  <c r="K298" i="1"/>
  <c r="J298" i="1"/>
  <c r="M297" i="1"/>
  <c r="L297" i="1"/>
  <c r="K297" i="1"/>
  <c r="J297" i="1"/>
  <c r="M296" i="1"/>
  <c r="L296" i="1"/>
  <c r="K296" i="1"/>
  <c r="J296" i="1"/>
  <c r="M295" i="1"/>
  <c r="L295" i="1"/>
  <c r="K295" i="1"/>
  <c r="J295" i="1"/>
  <c r="M294" i="1"/>
  <c r="L294" i="1"/>
  <c r="K294" i="1"/>
  <c r="J294" i="1"/>
  <c r="M293" i="1"/>
  <c r="L293" i="1"/>
  <c r="K293" i="1"/>
  <c r="J293" i="1"/>
  <c r="M292" i="1"/>
  <c r="L292" i="1"/>
  <c r="K292" i="1"/>
  <c r="J292" i="1"/>
  <c r="M291" i="1"/>
  <c r="L291" i="1"/>
  <c r="K291" i="1"/>
  <c r="J291" i="1"/>
  <c r="M290" i="1"/>
  <c r="L290" i="1"/>
  <c r="K290" i="1"/>
  <c r="J290" i="1"/>
  <c r="M289" i="1"/>
  <c r="L289" i="1"/>
  <c r="K289" i="1"/>
  <c r="J289" i="1"/>
  <c r="M288" i="1"/>
  <c r="L288" i="1"/>
  <c r="K288" i="1"/>
  <c r="J288" i="1"/>
  <c r="M287" i="1"/>
  <c r="L287" i="1"/>
  <c r="K287" i="1"/>
  <c r="J287" i="1"/>
  <c r="M286" i="1"/>
  <c r="L286" i="1"/>
  <c r="K286" i="1"/>
  <c r="J286" i="1"/>
  <c r="M285" i="1"/>
  <c r="L285" i="1"/>
  <c r="K285" i="1"/>
  <c r="J285" i="1"/>
  <c r="M284" i="1"/>
  <c r="L284" i="1"/>
  <c r="K284" i="1"/>
  <c r="J284" i="1"/>
  <c r="M283" i="1"/>
  <c r="L283" i="1"/>
  <c r="K283" i="1"/>
  <c r="J283" i="1"/>
  <c r="M282" i="1"/>
  <c r="L282" i="1"/>
  <c r="K282" i="1"/>
  <c r="J282" i="1"/>
  <c r="M281" i="1"/>
  <c r="L281" i="1"/>
  <c r="K281" i="1"/>
  <c r="J281" i="1"/>
  <c r="M280" i="1"/>
  <c r="L280" i="1"/>
  <c r="K280" i="1"/>
  <c r="J280" i="1"/>
  <c r="M279" i="1"/>
  <c r="L279" i="1"/>
  <c r="K279" i="1"/>
  <c r="J279" i="1"/>
  <c r="M278" i="1"/>
  <c r="L278" i="1"/>
  <c r="K278" i="1"/>
  <c r="J278" i="1"/>
  <c r="M277" i="1"/>
  <c r="L277" i="1"/>
  <c r="K277" i="1"/>
  <c r="J277" i="1"/>
  <c r="M276" i="1"/>
  <c r="L276" i="1"/>
  <c r="K276" i="1"/>
  <c r="J276" i="1"/>
  <c r="M275" i="1"/>
  <c r="L275" i="1"/>
  <c r="K275" i="1"/>
  <c r="J275" i="1"/>
  <c r="M274" i="1"/>
  <c r="L274" i="1"/>
  <c r="K274" i="1"/>
  <c r="J274" i="1"/>
  <c r="M273" i="1"/>
  <c r="L273" i="1"/>
  <c r="K273" i="1"/>
  <c r="J273" i="1"/>
  <c r="M272" i="1"/>
  <c r="L272" i="1"/>
  <c r="K272" i="1"/>
  <c r="J272" i="1"/>
  <c r="M271" i="1"/>
  <c r="L271" i="1"/>
  <c r="K271" i="1"/>
  <c r="J271" i="1"/>
  <c r="M270" i="1"/>
  <c r="L270" i="1"/>
  <c r="K270" i="1"/>
  <c r="J270" i="1"/>
  <c r="M269" i="1"/>
  <c r="L269" i="1"/>
  <c r="K269" i="1"/>
  <c r="J269" i="1"/>
  <c r="M268" i="1"/>
  <c r="L268" i="1"/>
  <c r="K268" i="1"/>
  <c r="J268" i="1"/>
  <c r="M267" i="1"/>
  <c r="L267" i="1"/>
  <c r="K267" i="1"/>
  <c r="J267" i="1"/>
  <c r="M266" i="1"/>
  <c r="L266" i="1"/>
  <c r="K266" i="1"/>
  <c r="J266" i="1"/>
  <c r="M265" i="1"/>
  <c r="L265" i="1"/>
  <c r="K265" i="1"/>
  <c r="J265" i="1"/>
  <c r="M264" i="1"/>
  <c r="L264" i="1"/>
  <c r="K264" i="1"/>
  <c r="J264" i="1"/>
  <c r="M263" i="1"/>
  <c r="L263" i="1"/>
  <c r="K263" i="1"/>
  <c r="J263" i="1"/>
  <c r="M262" i="1"/>
  <c r="L262" i="1"/>
  <c r="K262" i="1"/>
  <c r="J262" i="1"/>
  <c r="M261" i="1"/>
  <c r="L261" i="1"/>
  <c r="K261" i="1"/>
  <c r="J261" i="1"/>
  <c r="M260" i="1"/>
  <c r="L260" i="1"/>
  <c r="K260" i="1"/>
  <c r="J260" i="1"/>
  <c r="M259" i="1"/>
  <c r="L259" i="1"/>
  <c r="K259" i="1"/>
  <c r="J259" i="1"/>
  <c r="M258" i="1"/>
  <c r="L258" i="1"/>
  <c r="K258" i="1"/>
  <c r="J258" i="1"/>
  <c r="M257" i="1"/>
  <c r="L257" i="1"/>
  <c r="K257" i="1"/>
  <c r="J257" i="1"/>
  <c r="M256" i="1"/>
  <c r="L256" i="1"/>
  <c r="K256" i="1"/>
  <c r="J256" i="1"/>
  <c r="M255" i="1"/>
  <c r="L255" i="1"/>
  <c r="K255" i="1"/>
  <c r="J255" i="1"/>
  <c r="M254" i="1"/>
  <c r="L254" i="1"/>
  <c r="K254" i="1"/>
  <c r="J254" i="1"/>
  <c r="M253" i="1"/>
  <c r="L253" i="1"/>
  <c r="K253" i="1"/>
  <c r="J253" i="1"/>
  <c r="M252" i="1"/>
  <c r="L252" i="1"/>
  <c r="K252" i="1"/>
  <c r="J252" i="1"/>
  <c r="M251" i="1"/>
  <c r="L251" i="1"/>
  <c r="K251" i="1"/>
  <c r="J251" i="1"/>
  <c r="M250" i="1"/>
  <c r="L250" i="1"/>
  <c r="K250" i="1"/>
  <c r="J250" i="1"/>
  <c r="M249" i="1"/>
  <c r="L249" i="1"/>
  <c r="K249" i="1"/>
  <c r="J249" i="1"/>
  <c r="M248" i="1"/>
  <c r="L248" i="1"/>
  <c r="K248" i="1"/>
  <c r="J248" i="1"/>
  <c r="M247" i="1"/>
  <c r="L247" i="1"/>
  <c r="K247" i="1"/>
  <c r="J247" i="1"/>
  <c r="M246" i="1"/>
  <c r="L246" i="1"/>
  <c r="K246" i="1"/>
  <c r="J246" i="1"/>
  <c r="M245" i="1"/>
  <c r="L245" i="1"/>
  <c r="K245" i="1"/>
  <c r="J245" i="1"/>
  <c r="M244" i="1"/>
  <c r="L244" i="1"/>
  <c r="K244" i="1"/>
  <c r="J244" i="1"/>
  <c r="M243" i="1"/>
  <c r="L243" i="1"/>
  <c r="K243" i="1"/>
  <c r="J243" i="1"/>
  <c r="M242" i="1"/>
  <c r="L242" i="1"/>
  <c r="K242" i="1"/>
  <c r="J242" i="1"/>
  <c r="M241" i="1"/>
  <c r="L241" i="1"/>
  <c r="K241" i="1"/>
  <c r="J241" i="1"/>
  <c r="M240" i="1"/>
  <c r="L240" i="1"/>
  <c r="K240" i="1"/>
  <c r="J240" i="1"/>
  <c r="M239" i="1"/>
  <c r="L239" i="1"/>
  <c r="K239" i="1"/>
  <c r="J239" i="1"/>
  <c r="M238" i="1"/>
  <c r="L238" i="1"/>
  <c r="K238" i="1"/>
  <c r="J238" i="1"/>
  <c r="M237" i="1"/>
  <c r="L237" i="1"/>
  <c r="K237" i="1"/>
  <c r="J237" i="1"/>
  <c r="M236" i="1"/>
  <c r="L236" i="1"/>
  <c r="K236" i="1"/>
  <c r="J236" i="1"/>
  <c r="M235" i="1"/>
  <c r="L235" i="1"/>
  <c r="K235" i="1"/>
  <c r="J235" i="1"/>
  <c r="M234" i="1"/>
  <c r="L234" i="1"/>
  <c r="K234" i="1"/>
  <c r="J234" i="1"/>
  <c r="M233" i="1"/>
  <c r="L233" i="1"/>
  <c r="K233" i="1"/>
  <c r="J233" i="1"/>
  <c r="M232" i="1"/>
  <c r="L232" i="1"/>
  <c r="K232" i="1"/>
  <c r="J232" i="1"/>
  <c r="M231" i="1"/>
  <c r="L231" i="1"/>
  <c r="K231" i="1"/>
  <c r="J231" i="1"/>
  <c r="M230" i="1"/>
  <c r="L230" i="1"/>
  <c r="K230" i="1"/>
  <c r="J230" i="1"/>
  <c r="M229" i="1"/>
  <c r="L229" i="1"/>
  <c r="K229" i="1"/>
  <c r="J229" i="1"/>
  <c r="M228" i="1"/>
  <c r="L228" i="1"/>
  <c r="K228" i="1"/>
  <c r="J228" i="1"/>
  <c r="M227" i="1"/>
  <c r="L227" i="1"/>
  <c r="K227" i="1"/>
  <c r="J227" i="1"/>
  <c r="M226" i="1"/>
  <c r="L226" i="1"/>
  <c r="K226" i="1"/>
  <c r="J226" i="1"/>
  <c r="M225" i="1"/>
  <c r="L225" i="1"/>
  <c r="K225" i="1"/>
  <c r="J225" i="1"/>
  <c r="M224" i="1"/>
  <c r="L224" i="1"/>
  <c r="K224" i="1"/>
  <c r="J224" i="1"/>
  <c r="M223" i="1"/>
  <c r="L223" i="1"/>
  <c r="K223" i="1"/>
  <c r="J223" i="1"/>
  <c r="M222" i="1"/>
  <c r="L222" i="1"/>
  <c r="K222" i="1"/>
  <c r="J222" i="1"/>
  <c r="M221" i="1"/>
  <c r="L221" i="1"/>
  <c r="K221" i="1"/>
  <c r="J221" i="1"/>
  <c r="M220" i="1"/>
  <c r="L220" i="1"/>
  <c r="K220" i="1"/>
  <c r="J220" i="1"/>
  <c r="M219" i="1"/>
  <c r="L219" i="1"/>
  <c r="K219" i="1"/>
  <c r="J219" i="1"/>
  <c r="M218" i="1"/>
  <c r="L218" i="1"/>
  <c r="K218" i="1"/>
  <c r="J218" i="1"/>
  <c r="M217" i="1"/>
  <c r="L217" i="1"/>
  <c r="K217" i="1"/>
  <c r="J217" i="1"/>
  <c r="M216" i="1"/>
  <c r="L216" i="1"/>
  <c r="K216" i="1"/>
  <c r="J216" i="1"/>
  <c r="M215" i="1"/>
  <c r="L215" i="1"/>
  <c r="K215" i="1"/>
  <c r="J215" i="1"/>
  <c r="M214" i="1"/>
  <c r="L214" i="1"/>
  <c r="K214" i="1"/>
  <c r="J214" i="1"/>
  <c r="M213" i="1"/>
  <c r="L213" i="1"/>
  <c r="K213" i="1"/>
  <c r="J213" i="1"/>
  <c r="M212" i="1"/>
  <c r="L212" i="1"/>
  <c r="K212" i="1"/>
  <c r="J212" i="1"/>
  <c r="M211" i="1"/>
  <c r="L211" i="1"/>
  <c r="K211" i="1"/>
  <c r="J211" i="1"/>
  <c r="M210" i="1"/>
  <c r="L210" i="1"/>
  <c r="K210" i="1"/>
  <c r="J210" i="1"/>
  <c r="M209" i="1"/>
  <c r="L209" i="1"/>
  <c r="K209" i="1"/>
  <c r="J209" i="1"/>
  <c r="M208" i="1"/>
  <c r="L208" i="1"/>
  <c r="K208" i="1"/>
  <c r="J208" i="1"/>
  <c r="M207" i="1"/>
  <c r="L207" i="1"/>
  <c r="K207" i="1"/>
  <c r="J207" i="1"/>
  <c r="M206" i="1"/>
  <c r="L206" i="1"/>
  <c r="K206" i="1"/>
  <c r="J206" i="1"/>
  <c r="M205" i="1"/>
  <c r="L205" i="1"/>
  <c r="K205" i="1"/>
  <c r="J205" i="1"/>
  <c r="M204" i="1"/>
  <c r="L204" i="1"/>
  <c r="K204" i="1"/>
  <c r="J204" i="1"/>
  <c r="M203" i="1"/>
  <c r="L203" i="1"/>
  <c r="K203" i="1"/>
  <c r="J203" i="1"/>
  <c r="M202" i="1"/>
  <c r="L202" i="1"/>
  <c r="K202" i="1"/>
  <c r="J202" i="1"/>
  <c r="M201" i="1"/>
  <c r="L201" i="1"/>
  <c r="K201" i="1"/>
  <c r="J201" i="1"/>
  <c r="M200" i="1"/>
  <c r="L200" i="1"/>
  <c r="K200" i="1"/>
  <c r="J200" i="1"/>
  <c r="M199" i="1"/>
  <c r="L199" i="1"/>
  <c r="K199" i="1"/>
  <c r="J199" i="1"/>
  <c r="M198" i="1"/>
  <c r="L198" i="1"/>
  <c r="K198" i="1"/>
  <c r="J198" i="1"/>
  <c r="M197" i="1"/>
  <c r="L197" i="1"/>
  <c r="K197" i="1"/>
  <c r="J197" i="1"/>
  <c r="M196" i="1"/>
  <c r="L196" i="1"/>
  <c r="K196" i="1"/>
  <c r="J196" i="1"/>
  <c r="M195" i="1"/>
  <c r="L195" i="1"/>
  <c r="K195" i="1"/>
  <c r="J195" i="1"/>
  <c r="M194" i="1"/>
  <c r="L194" i="1"/>
  <c r="K194" i="1"/>
  <c r="J194" i="1"/>
  <c r="M193" i="1"/>
  <c r="L193" i="1"/>
  <c r="K193" i="1"/>
  <c r="J193" i="1"/>
  <c r="M192" i="1"/>
  <c r="L192" i="1"/>
  <c r="K192" i="1"/>
  <c r="J192" i="1"/>
  <c r="M191" i="1"/>
  <c r="L191" i="1"/>
  <c r="K191" i="1"/>
  <c r="J191" i="1"/>
  <c r="M190" i="1"/>
  <c r="L190" i="1"/>
  <c r="K190" i="1"/>
  <c r="J190" i="1"/>
  <c r="M189" i="1"/>
  <c r="L189" i="1"/>
  <c r="K189" i="1"/>
  <c r="J189" i="1"/>
  <c r="M188" i="1"/>
  <c r="L188" i="1"/>
  <c r="K188" i="1"/>
  <c r="J188" i="1"/>
  <c r="M187" i="1"/>
  <c r="L187" i="1"/>
  <c r="K187" i="1"/>
  <c r="J187" i="1"/>
  <c r="M186" i="1"/>
  <c r="L186" i="1"/>
  <c r="K186" i="1"/>
  <c r="J186" i="1"/>
  <c r="M185" i="1"/>
  <c r="L185" i="1"/>
  <c r="K185" i="1"/>
  <c r="J185" i="1"/>
  <c r="M184" i="1"/>
  <c r="L184" i="1"/>
  <c r="K184" i="1"/>
  <c r="J184" i="1"/>
  <c r="M183" i="1"/>
  <c r="L183" i="1"/>
  <c r="K183" i="1"/>
  <c r="J183" i="1"/>
  <c r="M182" i="1"/>
  <c r="L182" i="1"/>
  <c r="K182" i="1"/>
  <c r="J182" i="1"/>
  <c r="M181" i="1"/>
  <c r="L181" i="1"/>
  <c r="K181" i="1"/>
  <c r="J181" i="1"/>
  <c r="M180" i="1"/>
  <c r="L180" i="1"/>
  <c r="K180" i="1"/>
  <c r="J180" i="1"/>
  <c r="M179" i="1"/>
  <c r="L179" i="1"/>
  <c r="K179" i="1"/>
  <c r="J179" i="1"/>
  <c r="M178" i="1"/>
  <c r="L178" i="1"/>
  <c r="K178" i="1"/>
  <c r="J178" i="1"/>
  <c r="M177" i="1"/>
  <c r="L177" i="1"/>
  <c r="K177" i="1"/>
  <c r="J177" i="1"/>
  <c r="M176" i="1"/>
  <c r="L176" i="1"/>
  <c r="K176" i="1"/>
  <c r="J176" i="1"/>
  <c r="M175" i="1"/>
  <c r="L175" i="1"/>
  <c r="K175" i="1"/>
  <c r="J175" i="1"/>
  <c r="M174" i="1"/>
  <c r="L174" i="1"/>
  <c r="K174" i="1"/>
  <c r="J174" i="1"/>
  <c r="M173" i="1"/>
  <c r="L173" i="1"/>
  <c r="K173" i="1"/>
  <c r="J173" i="1"/>
  <c r="M172" i="1"/>
  <c r="L172" i="1"/>
  <c r="K172" i="1"/>
  <c r="J172" i="1"/>
  <c r="M171" i="1"/>
  <c r="L171" i="1"/>
  <c r="K171" i="1"/>
  <c r="J171" i="1"/>
  <c r="M170" i="1"/>
  <c r="L170" i="1"/>
  <c r="K170" i="1"/>
  <c r="J170" i="1"/>
  <c r="M169" i="1"/>
  <c r="L169" i="1"/>
  <c r="K169" i="1"/>
  <c r="J169" i="1"/>
  <c r="M168" i="1"/>
  <c r="L168" i="1"/>
  <c r="K168" i="1"/>
  <c r="J168" i="1"/>
  <c r="M167" i="1"/>
  <c r="L167" i="1"/>
  <c r="K167" i="1"/>
  <c r="J167" i="1"/>
  <c r="M166" i="1"/>
  <c r="L166" i="1"/>
  <c r="K166" i="1"/>
  <c r="J166" i="1"/>
  <c r="M165" i="1"/>
  <c r="L165" i="1"/>
  <c r="K165" i="1"/>
  <c r="J165" i="1"/>
  <c r="M164" i="1"/>
  <c r="L164" i="1"/>
  <c r="K164" i="1"/>
  <c r="J164" i="1"/>
  <c r="M163" i="1"/>
  <c r="L163" i="1"/>
  <c r="K163" i="1"/>
  <c r="J163" i="1"/>
  <c r="M162" i="1"/>
  <c r="L162" i="1"/>
  <c r="K162" i="1"/>
  <c r="J162" i="1"/>
  <c r="M161" i="1"/>
  <c r="L161" i="1"/>
  <c r="K161" i="1"/>
  <c r="J161" i="1"/>
  <c r="M160" i="1"/>
  <c r="L160" i="1"/>
  <c r="K160" i="1"/>
  <c r="J160" i="1"/>
  <c r="M159" i="1"/>
  <c r="L159" i="1"/>
  <c r="K159" i="1"/>
  <c r="J159" i="1"/>
  <c r="M158" i="1"/>
  <c r="L158" i="1"/>
  <c r="K158" i="1"/>
  <c r="J158" i="1"/>
  <c r="M157" i="1"/>
  <c r="L157" i="1"/>
  <c r="K157" i="1"/>
  <c r="J157" i="1"/>
  <c r="M156" i="1"/>
  <c r="L156" i="1"/>
  <c r="K156" i="1"/>
  <c r="J156" i="1"/>
  <c r="M155" i="1"/>
  <c r="L155" i="1"/>
  <c r="K155" i="1"/>
  <c r="J155" i="1"/>
  <c r="M154" i="1"/>
  <c r="L154" i="1"/>
  <c r="K154" i="1"/>
  <c r="J154" i="1"/>
  <c r="M153" i="1"/>
  <c r="L153" i="1"/>
  <c r="K153" i="1"/>
  <c r="J153" i="1"/>
  <c r="M152" i="1"/>
  <c r="L152" i="1"/>
  <c r="K152" i="1"/>
  <c r="J152" i="1"/>
  <c r="M151" i="1"/>
  <c r="L151" i="1"/>
  <c r="K151" i="1"/>
  <c r="J151" i="1"/>
  <c r="M150" i="1"/>
  <c r="L150" i="1"/>
  <c r="K150" i="1"/>
  <c r="J150" i="1"/>
  <c r="M149" i="1"/>
  <c r="L149" i="1"/>
  <c r="K149" i="1"/>
  <c r="J149" i="1"/>
  <c r="M148" i="1"/>
  <c r="L148" i="1"/>
  <c r="K148" i="1"/>
  <c r="J148" i="1"/>
  <c r="M147" i="1"/>
  <c r="L147" i="1"/>
  <c r="K147" i="1"/>
  <c r="J147" i="1"/>
  <c r="M146" i="1"/>
  <c r="L146" i="1"/>
  <c r="K146" i="1"/>
  <c r="J146" i="1"/>
  <c r="M145" i="1"/>
  <c r="L145" i="1"/>
  <c r="K145" i="1"/>
  <c r="J145" i="1"/>
  <c r="M144" i="1"/>
  <c r="L144" i="1"/>
  <c r="K144" i="1"/>
  <c r="J144" i="1"/>
  <c r="M143" i="1"/>
  <c r="L143" i="1"/>
  <c r="K143" i="1"/>
  <c r="J143" i="1"/>
  <c r="M142" i="1"/>
  <c r="L142" i="1"/>
  <c r="K142" i="1"/>
  <c r="J142" i="1"/>
  <c r="M141" i="1"/>
  <c r="L141" i="1"/>
  <c r="K141" i="1"/>
  <c r="J141" i="1"/>
  <c r="M140" i="1"/>
  <c r="L140" i="1"/>
  <c r="K140" i="1"/>
  <c r="J140" i="1"/>
  <c r="M139" i="1"/>
  <c r="L139" i="1"/>
  <c r="K139" i="1"/>
  <c r="J139" i="1"/>
  <c r="M138" i="1"/>
  <c r="L138" i="1"/>
  <c r="K138" i="1"/>
  <c r="J138" i="1"/>
  <c r="M137" i="1"/>
  <c r="L137" i="1"/>
  <c r="K137" i="1"/>
  <c r="J137" i="1"/>
  <c r="M136" i="1"/>
  <c r="L136" i="1"/>
  <c r="K136" i="1"/>
  <c r="J136" i="1"/>
  <c r="M135" i="1"/>
  <c r="L135" i="1"/>
  <c r="K135" i="1"/>
  <c r="J135" i="1"/>
  <c r="M134" i="1"/>
  <c r="L134" i="1"/>
  <c r="K134" i="1"/>
  <c r="J134" i="1"/>
  <c r="M133" i="1"/>
  <c r="L133" i="1"/>
  <c r="K133" i="1"/>
  <c r="J133" i="1"/>
  <c r="M132" i="1"/>
  <c r="L132" i="1"/>
  <c r="K132" i="1"/>
  <c r="J132" i="1"/>
  <c r="M131" i="1"/>
  <c r="L131" i="1"/>
  <c r="K131" i="1"/>
  <c r="J131" i="1"/>
  <c r="M130" i="1"/>
  <c r="L130" i="1"/>
  <c r="K130" i="1"/>
  <c r="J130" i="1"/>
  <c r="M129" i="1"/>
  <c r="L129" i="1"/>
  <c r="K129" i="1"/>
  <c r="J129" i="1"/>
  <c r="M128" i="1"/>
  <c r="L128" i="1"/>
  <c r="K128" i="1"/>
  <c r="J128" i="1"/>
  <c r="M127" i="1"/>
  <c r="L127" i="1"/>
  <c r="K127" i="1"/>
  <c r="J127" i="1"/>
  <c r="M126" i="1"/>
  <c r="L126" i="1"/>
  <c r="K126" i="1"/>
  <c r="J126" i="1"/>
  <c r="M125" i="1"/>
  <c r="L125" i="1"/>
  <c r="K125" i="1"/>
  <c r="J125" i="1"/>
  <c r="M124" i="1"/>
  <c r="L124" i="1"/>
  <c r="K124" i="1"/>
  <c r="J124" i="1"/>
  <c r="M123" i="1"/>
  <c r="L123" i="1"/>
  <c r="K123" i="1"/>
  <c r="J123" i="1"/>
  <c r="M122" i="1"/>
  <c r="L122" i="1"/>
  <c r="K122" i="1"/>
  <c r="J122" i="1"/>
  <c r="M121" i="1"/>
  <c r="L121" i="1"/>
  <c r="K121" i="1"/>
  <c r="J121" i="1"/>
  <c r="M120" i="1"/>
  <c r="L120" i="1"/>
  <c r="K120" i="1"/>
  <c r="J120" i="1"/>
  <c r="M119" i="1"/>
  <c r="L119" i="1"/>
  <c r="K119" i="1"/>
  <c r="J119" i="1"/>
  <c r="M118" i="1"/>
  <c r="L118" i="1"/>
  <c r="K118" i="1"/>
  <c r="J118" i="1"/>
  <c r="M117" i="1"/>
  <c r="L117" i="1"/>
  <c r="K117" i="1"/>
  <c r="J117" i="1"/>
  <c r="M116" i="1"/>
  <c r="L116" i="1"/>
  <c r="K116" i="1"/>
  <c r="J116" i="1"/>
  <c r="M115" i="1"/>
  <c r="L115" i="1"/>
  <c r="K115" i="1"/>
  <c r="J115" i="1"/>
  <c r="M114" i="1"/>
  <c r="L114" i="1"/>
  <c r="K114" i="1"/>
  <c r="J114" i="1"/>
  <c r="M113" i="1"/>
  <c r="L113" i="1"/>
  <c r="K113" i="1"/>
  <c r="J113" i="1"/>
  <c r="M112" i="1"/>
  <c r="L112" i="1"/>
  <c r="K112" i="1"/>
  <c r="J112" i="1"/>
  <c r="M111" i="1"/>
  <c r="L111" i="1"/>
  <c r="K111" i="1"/>
  <c r="J111" i="1"/>
  <c r="M110" i="1"/>
  <c r="L110" i="1"/>
  <c r="K110" i="1"/>
  <c r="J110" i="1"/>
  <c r="M109" i="1"/>
  <c r="L109" i="1"/>
  <c r="K109" i="1"/>
  <c r="J109" i="1"/>
  <c r="M108" i="1"/>
  <c r="L108" i="1"/>
  <c r="K108" i="1"/>
  <c r="J108" i="1"/>
  <c r="M107" i="1"/>
  <c r="L107" i="1"/>
  <c r="K107" i="1"/>
  <c r="J107" i="1"/>
  <c r="M106" i="1"/>
  <c r="L106" i="1"/>
  <c r="K106" i="1"/>
  <c r="J106" i="1"/>
  <c r="M105" i="1"/>
  <c r="L105" i="1"/>
  <c r="K105" i="1"/>
  <c r="J105" i="1"/>
  <c r="M104" i="1"/>
  <c r="L104" i="1"/>
  <c r="K104" i="1"/>
  <c r="J104" i="1"/>
  <c r="M103" i="1"/>
  <c r="L103" i="1"/>
  <c r="K103" i="1"/>
  <c r="J103" i="1"/>
  <c r="M102" i="1"/>
  <c r="L102" i="1"/>
  <c r="K102" i="1"/>
  <c r="J102" i="1"/>
  <c r="M101" i="1"/>
  <c r="L101" i="1"/>
  <c r="K101" i="1"/>
  <c r="J101" i="1"/>
  <c r="M100" i="1"/>
  <c r="L100" i="1"/>
  <c r="K100" i="1"/>
  <c r="J100" i="1"/>
  <c r="M99" i="1"/>
  <c r="L99" i="1"/>
  <c r="K99" i="1"/>
  <c r="J99" i="1"/>
  <c r="M98" i="1"/>
  <c r="L98" i="1"/>
  <c r="K98" i="1"/>
  <c r="J98" i="1"/>
  <c r="M97" i="1"/>
  <c r="L97" i="1"/>
  <c r="K97" i="1"/>
  <c r="J97" i="1"/>
  <c r="M96" i="1"/>
  <c r="L96" i="1"/>
  <c r="K96" i="1"/>
  <c r="J96" i="1"/>
  <c r="M95" i="1"/>
  <c r="L95" i="1"/>
  <c r="K95" i="1"/>
  <c r="J95" i="1"/>
  <c r="M94" i="1"/>
  <c r="L94" i="1"/>
  <c r="K94" i="1"/>
  <c r="J94" i="1"/>
  <c r="M93" i="1"/>
  <c r="L93" i="1"/>
  <c r="K93" i="1"/>
  <c r="J93" i="1"/>
  <c r="M92" i="1"/>
  <c r="L92" i="1"/>
  <c r="K92" i="1"/>
  <c r="J92" i="1"/>
  <c r="M91" i="1"/>
  <c r="L91" i="1"/>
  <c r="K91" i="1"/>
  <c r="J91" i="1"/>
  <c r="M90" i="1"/>
  <c r="L90" i="1"/>
  <c r="K90" i="1"/>
  <c r="J90" i="1"/>
  <c r="M89" i="1"/>
  <c r="L89" i="1"/>
  <c r="K89" i="1"/>
  <c r="J89" i="1"/>
  <c r="M88" i="1"/>
  <c r="L88" i="1"/>
  <c r="K88" i="1"/>
  <c r="J88" i="1"/>
  <c r="M87" i="1"/>
  <c r="L87" i="1"/>
  <c r="K87" i="1"/>
  <c r="J87" i="1"/>
  <c r="M86" i="1"/>
  <c r="L86" i="1"/>
  <c r="K86" i="1"/>
  <c r="J86" i="1"/>
  <c r="M85" i="1"/>
  <c r="L85" i="1"/>
  <c r="K85" i="1"/>
  <c r="J85" i="1"/>
  <c r="M84" i="1"/>
  <c r="L84" i="1"/>
  <c r="K84" i="1"/>
  <c r="J84" i="1"/>
  <c r="M83" i="1"/>
  <c r="L83" i="1"/>
  <c r="K83" i="1"/>
  <c r="J83" i="1"/>
  <c r="M82" i="1"/>
  <c r="L82" i="1"/>
  <c r="K82" i="1"/>
  <c r="J82" i="1"/>
  <c r="M81" i="1"/>
  <c r="L81" i="1"/>
  <c r="K81" i="1"/>
  <c r="J81" i="1"/>
  <c r="M80" i="1"/>
  <c r="L80" i="1"/>
  <c r="K80" i="1"/>
  <c r="J80" i="1"/>
  <c r="M79" i="1"/>
  <c r="L79" i="1"/>
  <c r="K79" i="1"/>
  <c r="J79" i="1"/>
  <c r="M78" i="1"/>
  <c r="L78" i="1"/>
  <c r="K78" i="1"/>
  <c r="J78" i="1"/>
  <c r="M77" i="1"/>
  <c r="L77" i="1"/>
  <c r="K77" i="1"/>
  <c r="J77" i="1"/>
  <c r="M76" i="1"/>
  <c r="L76" i="1"/>
  <c r="K76" i="1"/>
  <c r="J76" i="1"/>
  <c r="M75" i="1"/>
  <c r="L75" i="1"/>
  <c r="K75" i="1"/>
  <c r="J75" i="1"/>
  <c r="M74" i="1"/>
  <c r="L74" i="1"/>
  <c r="K74" i="1"/>
  <c r="J74" i="1"/>
  <c r="M73" i="1"/>
  <c r="L73" i="1"/>
  <c r="K73" i="1"/>
  <c r="J73" i="1"/>
  <c r="M72" i="1"/>
  <c r="L72" i="1"/>
  <c r="K72" i="1"/>
  <c r="J72" i="1"/>
  <c r="M71" i="1"/>
  <c r="L71" i="1"/>
  <c r="K71" i="1"/>
  <c r="J71" i="1"/>
  <c r="M70" i="1"/>
  <c r="L70" i="1"/>
  <c r="K70" i="1"/>
  <c r="J70" i="1"/>
  <c r="M69" i="1"/>
  <c r="L69" i="1"/>
  <c r="K69" i="1"/>
  <c r="J69" i="1"/>
  <c r="M68" i="1"/>
  <c r="L68" i="1"/>
  <c r="K68" i="1"/>
  <c r="J68" i="1"/>
  <c r="M67" i="1"/>
  <c r="L67" i="1"/>
  <c r="K67" i="1"/>
  <c r="J67" i="1"/>
  <c r="M66" i="1"/>
  <c r="L66" i="1"/>
  <c r="K66" i="1"/>
  <c r="J66" i="1"/>
  <c r="M65" i="1"/>
  <c r="L65" i="1"/>
  <c r="K65" i="1"/>
  <c r="J65" i="1"/>
  <c r="M64" i="1"/>
  <c r="L64" i="1"/>
  <c r="K64" i="1"/>
  <c r="J64" i="1"/>
  <c r="M63" i="1"/>
  <c r="L63" i="1"/>
  <c r="K63" i="1"/>
  <c r="J63" i="1"/>
  <c r="M62" i="1"/>
  <c r="L62" i="1"/>
  <c r="K62" i="1"/>
  <c r="J62" i="1"/>
  <c r="M61" i="1"/>
  <c r="L61" i="1"/>
  <c r="K61" i="1"/>
  <c r="J61" i="1"/>
  <c r="M60" i="1"/>
  <c r="L60" i="1"/>
  <c r="K60" i="1"/>
  <c r="J60" i="1"/>
  <c r="M59" i="1"/>
  <c r="L59" i="1"/>
  <c r="K59" i="1"/>
  <c r="J59" i="1"/>
  <c r="M58" i="1"/>
  <c r="L58" i="1"/>
  <c r="K58" i="1"/>
  <c r="J58" i="1"/>
  <c r="M57" i="1"/>
  <c r="L57" i="1"/>
  <c r="K57" i="1"/>
  <c r="J57" i="1"/>
  <c r="M56" i="1"/>
  <c r="L56" i="1"/>
  <c r="K56" i="1"/>
  <c r="J56" i="1"/>
  <c r="M55" i="1"/>
  <c r="L55" i="1"/>
  <c r="K55" i="1"/>
  <c r="J55" i="1"/>
  <c r="M54" i="1"/>
  <c r="L54" i="1"/>
  <c r="K54" i="1"/>
  <c r="J54" i="1"/>
  <c r="M53" i="1"/>
  <c r="L53" i="1"/>
  <c r="K53" i="1"/>
  <c r="J53" i="1"/>
  <c r="M52" i="1"/>
  <c r="L52" i="1"/>
  <c r="K52" i="1"/>
  <c r="J52" i="1"/>
  <c r="M51" i="1"/>
  <c r="L51" i="1"/>
  <c r="K51" i="1"/>
  <c r="J51" i="1"/>
  <c r="M50" i="1"/>
  <c r="L50" i="1"/>
  <c r="K50" i="1"/>
  <c r="J50" i="1"/>
  <c r="M49" i="1"/>
  <c r="L49" i="1"/>
  <c r="K49" i="1"/>
  <c r="J49" i="1"/>
  <c r="M48" i="1"/>
  <c r="L48" i="1"/>
  <c r="K48" i="1"/>
  <c r="J48" i="1"/>
  <c r="M47" i="1"/>
  <c r="L47" i="1"/>
  <c r="K47" i="1"/>
  <c r="J47" i="1"/>
  <c r="M46" i="1"/>
  <c r="L46" i="1"/>
  <c r="K46" i="1"/>
  <c r="J46" i="1"/>
  <c r="M45" i="1"/>
  <c r="L45" i="1"/>
  <c r="K45" i="1"/>
  <c r="J45" i="1"/>
  <c r="M44" i="1"/>
  <c r="L44" i="1"/>
  <c r="K44" i="1"/>
  <c r="J44" i="1"/>
  <c r="M43" i="1"/>
  <c r="L43" i="1"/>
  <c r="K43" i="1"/>
  <c r="J43" i="1"/>
  <c r="M42" i="1"/>
  <c r="L42" i="1"/>
  <c r="K42" i="1"/>
  <c r="J42" i="1"/>
  <c r="M41" i="1"/>
  <c r="L41" i="1"/>
  <c r="K41" i="1"/>
  <c r="J41" i="1"/>
  <c r="M40" i="1"/>
  <c r="L40" i="1"/>
  <c r="K40" i="1"/>
  <c r="J40" i="1"/>
  <c r="M39" i="1"/>
  <c r="L39" i="1"/>
  <c r="K39" i="1"/>
  <c r="J39" i="1"/>
  <c r="M38" i="1"/>
  <c r="L38" i="1"/>
  <c r="K38" i="1"/>
  <c r="J38" i="1"/>
  <c r="M37" i="1"/>
  <c r="L37" i="1"/>
  <c r="K37" i="1"/>
  <c r="J37" i="1"/>
  <c r="M36" i="1"/>
  <c r="L36" i="1"/>
  <c r="K36" i="1"/>
  <c r="J36" i="1"/>
  <c r="M35" i="1"/>
  <c r="L35" i="1"/>
  <c r="K35" i="1"/>
  <c r="J35" i="1"/>
  <c r="M34" i="1"/>
  <c r="L34" i="1"/>
  <c r="K34" i="1"/>
  <c r="J34" i="1"/>
  <c r="M33" i="1"/>
  <c r="L33" i="1"/>
  <c r="K33" i="1"/>
  <c r="J33" i="1"/>
  <c r="M32" i="1"/>
  <c r="L32" i="1"/>
  <c r="K32" i="1"/>
  <c r="J32" i="1"/>
  <c r="M31" i="1"/>
  <c r="L31" i="1"/>
  <c r="K31" i="1"/>
  <c r="J31" i="1"/>
  <c r="M30" i="1"/>
  <c r="L30" i="1"/>
  <c r="K30" i="1"/>
  <c r="J30" i="1"/>
  <c r="M29" i="1"/>
  <c r="L29" i="1"/>
  <c r="K29" i="1"/>
  <c r="J29" i="1"/>
  <c r="M28" i="1"/>
  <c r="L28" i="1"/>
  <c r="K28" i="1"/>
  <c r="J28" i="1"/>
  <c r="M27" i="1"/>
  <c r="L27" i="1"/>
  <c r="K27" i="1"/>
  <c r="J27" i="1"/>
  <c r="M26" i="1"/>
  <c r="L26" i="1"/>
  <c r="K26" i="1"/>
  <c r="J26" i="1"/>
  <c r="M25" i="1"/>
  <c r="L25" i="1"/>
  <c r="K25" i="1"/>
  <c r="J25" i="1"/>
  <c r="M24" i="1"/>
  <c r="L24" i="1"/>
  <c r="K24" i="1"/>
  <c r="J24" i="1"/>
  <c r="M23" i="1"/>
  <c r="L23" i="1"/>
  <c r="K23" i="1"/>
  <c r="J23" i="1"/>
  <c r="M22" i="1"/>
  <c r="L22" i="1"/>
  <c r="K22" i="1"/>
  <c r="J22" i="1"/>
  <c r="M21" i="1"/>
  <c r="L21" i="1"/>
  <c r="K21" i="1"/>
  <c r="J21" i="1"/>
  <c r="M20" i="1"/>
  <c r="L20" i="1"/>
  <c r="K20" i="1"/>
  <c r="J20" i="1"/>
  <c r="M19" i="1"/>
  <c r="L19" i="1"/>
  <c r="K19" i="1"/>
  <c r="J19" i="1"/>
  <c r="M18" i="1"/>
  <c r="L18" i="1"/>
  <c r="K18" i="1"/>
  <c r="J18" i="1"/>
  <c r="M17" i="1"/>
  <c r="L17" i="1"/>
  <c r="K17" i="1"/>
  <c r="J17" i="1"/>
  <c r="M16" i="1"/>
  <c r="L16" i="1"/>
  <c r="K16" i="1"/>
  <c r="J16" i="1"/>
  <c r="M15" i="1"/>
  <c r="L15" i="1"/>
  <c r="K15" i="1"/>
  <c r="J15" i="1"/>
  <c r="M14" i="1"/>
  <c r="L14" i="1"/>
  <c r="K14" i="1"/>
  <c r="J14" i="1"/>
  <c r="M13" i="1"/>
  <c r="L13" i="1"/>
  <c r="K13" i="1"/>
  <c r="J13" i="1"/>
  <c r="M12" i="1"/>
  <c r="L12" i="1"/>
  <c r="K12" i="1"/>
  <c r="J12" i="1"/>
  <c r="M11" i="1"/>
  <c r="L11" i="1"/>
  <c r="K11" i="1"/>
  <c r="J11" i="1"/>
  <c r="M10" i="1"/>
  <c r="L10" i="1"/>
  <c r="K10" i="1"/>
  <c r="J10" i="1"/>
  <c r="M9" i="1"/>
  <c r="L9" i="1"/>
  <c r="K9" i="1"/>
  <c r="J9" i="1"/>
  <c r="M8" i="1"/>
  <c r="L8" i="1"/>
  <c r="K8" i="1"/>
  <c r="J8" i="1"/>
  <c r="M7" i="1"/>
  <c r="L7" i="1"/>
  <c r="K7" i="1"/>
  <c r="J7" i="1"/>
  <c r="M6" i="1"/>
  <c r="L6" i="1"/>
  <c r="K6" i="1"/>
  <c r="J6" i="1"/>
  <c r="M5" i="1"/>
  <c r="L5" i="1"/>
  <c r="K5" i="1"/>
  <c r="J5" i="1"/>
  <c r="M4" i="1"/>
  <c r="L4" i="1"/>
  <c r="K4" i="1"/>
  <c r="J4" i="1"/>
  <c r="M3" i="1"/>
  <c r="L3" i="1"/>
  <c r="K3" i="1"/>
  <c r="J3" i="1"/>
  <c r="M2" i="1"/>
  <c r="L2" i="1"/>
  <c r="K2" i="1"/>
  <c r="J2" i="1"/>
  <c r="H6" i="4"/>
  <c r="E6" i="4"/>
  <c r="H3" i="4"/>
  <c r="E3" i="4"/>
</calcChain>
</file>

<file path=xl/sharedStrings.xml><?xml version="1.0" encoding="utf-8"?>
<sst xmlns="http://schemas.openxmlformats.org/spreadsheetml/2006/main" count="2646" uniqueCount="575">
  <si>
    <t>Order ID</t>
  </si>
  <si>
    <t>Order Date</t>
  </si>
  <si>
    <t>Region</t>
  </si>
  <si>
    <t>Sales Rep</t>
  </si>
  <si>
    <t>Product</t>
  </si>
  <si>
    <t>Category</t>
  </si>
  <si>
    <t>Quantity</t>
  </si>
  <si>
    <t>Unit Price (KES)</t>
  </si>
  <si>
    <t>Unit Cost (KES)</t>
  </si>
  <si>
    <t>ORD-10381</t>
  </si>
  <si>
    <t>Central</t>
  </si>
  <si>
    <t>Mercy</t>
  </si>
  <si>
    <t>Desk</t>
  </si>
  <si>
    <t>Furniture</t>
  </si>
  <si>
    <t>ORD-10465</t>
  </si>
  <si>
    <t>Nairobi</t>
  </si>
  <si>
    <t>Peter</t>
  </si>
  <si>
    <t>Notebook Pack</t>
  </si>
  <si>
    <t>Office Supplies</t>
  </si>
  <si>
    <t>ORD-10104</t>
  </si>
  <si>
    <t>Coast</t>
  </si>
  <si>
    <t>Amina</t>
  </si>
  <si>
    <t>Monitor</t>
  </si>
  <si>
    <t>Electronics</t>
  </si>
  <si>
    <t>ORD-10303</t>
  </si>
  <si>
    <t>Rift Valley</t>
  </si>
  <si>
    <t>Faith</t>
  </si>
  <si>
    <t>Headphones</t>
  </si>
  <si>
    <t>ORD-10410</t>
  </si>
  <si>
    <t>Brian</t>
  </si>
  <si>
    <t>ORD-10478</t>
  </si>
  <si>
    <t>Mouse</t>
  </si>
  <si>
    <t>Accessories</t>
  </si>
  <si>
    <t>ORD-10415</t>
  </si>
  <si>
    <t>ORD-10233</t>
  </si>
  <si>
    <t>Keyboard</t>
  </si>
  <si>
    <t>ORD-10300</t>
  </si>
  <si>
    <t>Kevin</t>
  </si>
  <si>
    <t>ORD-10170</t>
  </si>
  <si>
    <t>Western</t>
  </si>
  <si>
    <t>ORD-10369</t>
  </si>
  <si>
    <t>ORD-10272</t>
  </si>
  <si>
    <t>ORD-10454</t>
  </si>
  <si>
    <t>Office Chair</t>
  </si>
  <si>
    <t>ORD-10429</t>
  </si>
  <si>
    <t>ORD-10138</t>
  </si>
  <si>
    <t>ORD-10385</t>
  </si>
  <si>
    <t>ORD-10147</t>
  </si>
  <si>
    <t>ORD-10117</t>
  </si>
  <si>
    <t>ORD-10328</t>
  </si>
  <si>
    <t>Printer</t>
  </si>
  <si>
    <t>ORD-10250</t>
  </si>
  <si>
    <t>ORD-10056</t>
  </si>
  <si>
    <t>ORD-10352</t>
  </si>
  <si>
    <t>ORD-10397</t>
  </si>
  <si>
    <t>ORD-10150</t>
  </si>
  <si>
    <t>ORD-10036</t>
  </si>
  <si>
    <t>ORD-10279</t>
  </si>
  <si>
    <t>ORD-10387</t>
  </si>
  <si>
    <t>USB Drive</t>
  </si>
  <si>
    <t>ORD-10045</t>
  </si>
  <si>
    <t>ORD-10069</t>
  </si>
  <si>
    <t>ORD-10217</t>
  </si>
  <si>
    <t>ORD-10127</t>
  </si>
  <si>
    <t>ORD-10439</t>
  </si>
  <si>
    <t>ORD-10280</t>
  </si>
  <si>
    <t>ORD-10431</t>
  </si>
  <si>
    <t>ORD-10246</t>
  </si>
  <si>
    <t>ORD-10007</t>
  </si>
  <si>
    <t>ORD-10196</t>
  </si>
  <si>
    <t>ORD-10172</t>
  </si>
  <si>
    <t>ORD-10001</t>
  </si>
  <si>
    <t>ORD-10133</t>
  </si>
  <si>
    <t>ORD-10359</t>
  </si>
  <si>
    <t>ORD-10033</t>
  </si>
  <si>
    <t>ORD-10243</t>
  </si>
  <si>
    <t>ORD-10376</t>
  </si>
  <si>
    <t>ORD-10010</t>
  </si>
  <si>
    <t>Laptop</t>
  </si>
  <si>
    <t>ORD-10087</t>
  </si>
  <si>
    <t>ORD-10218</t>
  </si>
  <si>
    <t>ORD-10258</t>
  </si>
  <si>
    <t>ORD-10460</t>
  </si>
  <si>
    <t>ORD-10171</t>
  </si>
  <si>
    <t>ORD-10310</t>
  </si>
  <si>
    <t>ORD-10322</t>
  </si>
  <si>
    <t>ORD-10480</t>
  </si>
  <si>
    <t>ORD-10120</t>
  </si>
  <si>
    <t>ORD-10365</t>
  </si>
  <si>
    <t>ORD-10313</t>
  </si>
  <si>
    <t>ORD-10198</t>
  </si>
  <si>
    <t>ORD-10497</t>
  </si>
  <si>
    <t>ORD-10386</t>
  </si>
  <si>
    <t>ORD-10418</t>
  </si>
  <si>
    <t>ORD-10436</t>
  </si>
  <si>
    <t>ORD-10018</t>
  </si>
  <si>
    <t>ORD-10221</t>
  </si>
  <si>
    <t>ORD-10157</t>
  </si>
  <si>
    <t>ORD-10434</t>
  </si>
  <si>
    <t>ORD-10074</t>
  </si>
  <si>
    <t>ORD-10414</t>
  </si>
  <si>
    <t>ORD-10443</t>
  </si>
  <si>
    <t>ORD-10118</t>
  </si>
  <si>
    <t>ORD-10329</t>
  </si>
  <si>
    <t>ORD-10462</t>
  </si>
  <si>
    <t>ORD-10100</t>
  </si>
  <si>
    <t>ORD-10241</t>
  </si>
  <si>
    <t>ORD-10306</t>
  </si>
  <si>
    <t>ORD-10256</t>
  </si>
  <si>
    <t>ORD-10408</t>
  </si>
  <si>
    <t>ORD-10457</t>
  </si>
  <si>
    <t>ORD-10273</t>
  </si>
  <si>
    <t>ORD-10390</t>
  </si>
  <si>
    <t>ORD-10357</t>
  </si>
  <si>
    <t>ORD-10182</t>
  </si>
  <si>
    <t>ORD-10058</t>
  </si>
  <si>
    <t>ORD-10287</t>
  </si>
  <si>
    <t>ORD-10083</t>
  </si>
  <si>
    <t>ORD-10178</t>
  </si>
  <si>
    <t>ORD-10187</t>
  </si>
  <si>
    <t>ORD-10041</t>
  </si>
  <si>
    <t>ORD-10467</t>
  </si>
  <si>
    <t>ORD-10350</t>
  </si>
  <si>
    <t>ORD-10168</t>
  </si>
  <si>
    <t>ORD-10262</t>
  </si>
  <si>
    <t>ORD-10259</t>
  </si>
  <si>
    <t>ORD-10411</t>
  </si>
  <si>
    <t>ORD-10230</t>
  </si>
  <si>
    <t>ORD-10349</t>
  </si>
  <si>
    <t>ORD-10392</t>
  </si>
  <si>
    <t>ORD-10251</t>
  </si>
  <si>
    <t>ORD-10023</t>
  </si>
  <si>
    <t>ORD-10469</t>
  </si>
  <si>
    <t>ORD-10253</t>
  </si>
  <si>
    <t>ORD-10072</t>
  </si>
  <si>
    <t>ORD-10398</t>
  </si>
  <si>
    <t>ORD-10052</t>
  </si>
  <si>
    <t>ORD-10102</t>
  </si>
  <si>
    <t>ORD-10426</t>
  </si>
  <si>
    <t>ORD-10009</t>
  </si>
  <si>
    <t>ORD-10339</t>
  </si>
  <si>
    <t>ORD-10224</t>
  </si>
  <si>
    <t>ORD-10142</t>
  </si>
  <si>
    <t>ORD-10363</t>
  </si>
  <si>
    <t>ORD-10078</t>
  </si>
  <si>
    <t>ORD-10032</t>
  </si>
  <si>
    <t>ORD-10412</t>
  </si>
  <si>
    <t>ORD-10486</t>
  </si>
  <si>
    <t>ORD-10326</t>
  </si>
  <si>
    <t>ORD-10148</t>
  </si>
  <si>
    <t>ORD-10327</t>
  </si>
  <si>
    <t>ORD-10384</t>
  </si>
  <si>
    <t>ORD-10189</t>
  </si>
  <si>
    <t>ORD-10097</t>
  </si>
  <si>
    <t>ORD-10119</t>
  </si>
  <si>
    <t>ORD-10315</t>
  </si>
  <si>
    <t>ORD-10483</t>
  </si>
  <si>
    <t>ORD-10346</t>
  </si>
  <si>
    <t>ORD-10211</t>
  </si>
  <si>
    <t>ORD-10380</t>
  </si>
  <si>
    <t>ORD-10209</t>
  </si>
  <si>
    <t>ORD-10206</t>
  </si>
  <si>
    <t>ORD-10292</t>
  </si>
  <si>
    <t>ORD-10216</t>
  </si>
  <si>
    <t>ORD-10143</t>
  </si>
  <si>
    <t>ORD-10281</t>
  </si>
  <si>
    <t>ORD-10413</t>
  </si>
  <si>
    <t>ORD-10039</t>
  </si>
  <si>
    <t>ORD-10111</t>
  </si>
  <si>
    <t>ORD-10152</t>
  </si>
  <si>
    <t>ORD-10399</t>
  </si>
  <si>
    <t>ORD-10314</t>
  </si>
  <si>
    <t>ORD-10299</t>
  </si>
  <si>
    <t>ORD-10450</t>
  </si>
  <si>
    <t>ORD-10481</t>
  </si>
  <si>
    <t>ORD-10495</t>
  </si>
  <si>
    <t>ORD-10096</t>
  </si>
  <si>
    <t>ORD-10342</t>
  </si>
  <si>
    <t>ORD-10154</t>
  </si>
  <si>
    <t>ORD-10271</t>
  </si>
  <si>
    <t>ORD-10419</t>
  </si>
  <si>
    <t>ORD-10353</t>
  </si>
  <si>
    <t>ORD-10442</t>
  </si>
  <si>
    <t>ORD-10263</t>
  </si>
  <si>
    <t>ORD-10307</t>
  </si>
  <si>
    <t>ORD-10136</t>
  </si>
  <si>
    <t>ORD-10190</t>
  </si>
  <si>
    <t>ORD-10226</t>
  </si>
  <si>
    <t>ORD-10239</t>
  </si>
  <si>
    <t>ORD-10400</t>
  </si>
  <si>
    <t>ORD-10333</t>
  </si>
  <si>
    <t>ORD-10088</t>
  </si>
  <si>
    <t>ORD-10447</t>
  </si>
  <si>
    <t>ORD-10368</t>
  </si>
  <si>
    <t>ORD-10338</t>
  </si>
  <si>
    <t>ORD-10309</t>
  </si>
  <si>
    <t>ORD-10403</t>
  </si>
  <si>
    <t>ORD-10167</t>
  </si>
  <si>
    <t>ORD-10321</t>
  </si>
  <si>
    <t>ORD-10066</t>
  </si>
  <si>
    <t>ORD-10254</t>
  </si>
  <si>
    <t>ORD-10077</t>
  </si>
  <si>
    <t>ORD-10294</t>
  </si>
  <si>
    <t>ORD-10487</t>
  </si>
  <si>
    <t>ORD-10371</t>
  </si>
  <si>
    <t>ORD-10169</t>
  </si>
  <si>
    <t>ORD-10199</t>
  </si>
  <si>
    <t>ORD-10197</t>
  </si>
  <si>
    <t>ORD-10268</t>
  </si>
  <si>
    <t>ORD-10139</t>
  </si>
  <si>
    <t>ORD-10044</t>
  </si>
  <si>
    <t>ORD-10053</t>
  </si>
  <si>
    <t>ORD-10301</t>
  </si>
  <si>
    <t>ORD-10194</t>
  </si>
  <si>
    <t>ORD-10201</t>
  </si>
  <si>
    <t>ORD-10063</t>
  </si>
  <si>
    <t>ORD-10393</t>
  </si>
  <si>
    <t>ORD-10332</t>
  </si>
  <si>
    <t>ORD-10022</t>
  </si>
  <si>
    <t>ORD-10068</t>
  </si>
  <si>
    <t>ORD-10498</t>
  </si>
  <si>
    <t>ORD-10374</t>
  </si>
  <si>
    <t>ORD-10379</t>
  </si>
  <si>
    <t>ORD-10188</t>
  </si>
  <si>
    <t>ORD-10094</t>
  </si>
  <si>
    <t>ORD-10440</t>
  </si>
  <si>
    <t>ORD-10027</t>
  </si>
  <si>
    <t>ORD-10164</t>
  </si>
  <si>
    <t>ORD-10163</t>
  </si>
  <si>
    <t>ORD-10373</t>
  </si>
  <si>
    <t>ORD-10144</t>
  </si>
  <si>
    <t>ORD-10065</t>
  </si>
  <si>
    <t>ORD-10496</t>
  </si>
  <si>
    <t>ORD-10248</t>
  </si>
  <si>
    <t>ORD-10275</t>
  </si>
  <si>
    <t>ORD-10165</t>
  </si>
  <si>
    <t>ORD-10464</t>
  </si>
  <si>
    <t>ORD-10425</t>
  </si>
  <si>
    <t>ORD-10500</t>
  </si>
  <si>
    <t>ORD-10238</t>
  </si>
  <si>
    <t>ORD-10473</t>
  </si>
  <si>
    <t>ORD-10407</t>
  </si>
  <si>
    <t>ORD-10435</t>
  </si>
  <si>
    <t>ORD-10005</t>
  </si>
  <si>
    <t>ORD-10091</t>
  </si>
  <si>
    <t>ORD-10354</t>
  </si>
  <si>
    <t>ORD-10155</t>
  </si>
  <si>
    <t>ORD-10082</t>
  </si>
  <si>
    <t>ORD-10140</t>
  </si>
  <si>
    <t>ORD-10004</t>
  </si>
  <si>
    <t>ORD-10121</t>
  </si>
  <si>
    <t>ORD-10298</t>
  </si>
  <si>
    <t>ORD-10030</t>
  </si>
  <si>
    <t>ORD-10285</t>
  </si>
  <si>
    <t>ORD-10047</t>
  </si>
  <si>
    <t>ORD-10186</t>
  </si>
  <si>
    <t>ORD-10219</t>
  </si>
  <si>
    <t>ORD-10267</t>
  </si>
  <si>
    <t>ORD-10214</t>
  </si>
  <si>
    <t>ORD-10031</t>
  </si>
  <si>
    <t>ORD-10020</t>
  </si>
  <si>
    <t>ORD-10205</t>
  </si>
  <si>
    <t>ORD-10222</t>
  </si>
  <si>
    <t>ORD-10114</t>
  </si>
  <si>
    <t>ORD-10335</t>
  </si>
  <si>
    <t>ORD-10073</t>
  </si>
  <si>
    <t>ORD-10176</t>
  </si>
  <si>
    <t>ORD-10485</t>
  </si>
  <si>
    <t>ORD-10231</t>
  </si>
  <si>
    <t>ORD-10474</t>
  </si>
  <si>
    <t>ORD-10277</t>
  </si>
  <si>
    <t>ORD-10054</t>
  </si>
  <si>
    <t>ORD-10367</t>
  </si>
  <si>
    <t>ORD-10124</t>
  </si>
  <si>
    <t>ORD-10070</t>
  </si>
  <si>
    <t>ORD-10109</t>
  </si>
  <si>
    <t>ORD-10290</t>
  </si>
  <si>
    <t>ORD-10076</t>
  </si>
  <si>
    <t>ORD-10276</t>
  </si>
  <si>
    <t>ORD-10282</t>
  </si>
  <si>
    <t>ORD-10444</t>
  </si>
  <si>
    <t>ORD-10235</t>
  </si>
  <si>
    <t>ORD-10284</t>
  </si>
  <si>
    <t>ORD-10203</t>
  </si>
  <si>
    <t>ORD-10252</t>
  </si>
  <si>
    <t>ORD-10185</t>
  </si>
  <si>
    <t>ORD-10055</t>
  </si>
  <si>
    <t>ORD-10183</t>
  </si>
  <si>
    <t>ORD-10021</t>
  </si>
  <si>
    <t>ORD-10180</t>
  </si>
  <si>
    <t>ORD-10453</t>
  </si>
  <si>
    <t>ORD-10406</t>
  </si>
  <si>
    <t>ORD-10405</t>
  </si>
  <si>
    <t>ORD-10420</t>
  </si>
  <si>
    <t>ORD-10115</t>
  </si>
  <si>
    <t>ORD-10159</t>
  </si>
  <si>
    <t>ORD-10445</t>
  </si>
  <si>
    <t>ORD-10017</t>
  </si>
  <si>
    <t>ORD-10344</t>
  </si>
  <si>
    <t>ORD-10366</t>
  </si>
  <si>
    <t>ORD-10449</t>
  </si>
  <si>
    <t>ORD-10296</t>
  </si>
  <si>
    <t>ORD-10011</t>
  </si>
  <si>
    <t>ORD-10488</t>
  </si>
  <si>
    <t>ORD-10351</t>
  </si>
  <si>
    <t>ORD-10289</t>
  </si>
  <si>
    <t>ORD-10305</t>
  </si>
  <si>
    <t>ORD-10295</t>
  </si>
  <si>
    <t>ORD-10229</t>
  </si>
  <si>
    <t>ORD-10029</t>
  </si>
  <si>
    <t>ORD-10057</t>
  </si>
  <si>
    <t>ORD-10331</t>
  </si>
  <si>
    <t>ORD-10308</t>
  </si>
  <si>
    <t>ORD-10456</t>
  </si>
  <si>
    <t>ORD-10132</t>
  </si>
  <si>
    <t>ORD-10330</t>
  </si>
  <si>
    <t>ORD-10113</t>
  </si>
  <si>
    <t>ORD-10034</t>
  </si>
  <si>
    <t>ORD-10158</t>
  </si>
  <si>
    <t>ORD-10134</t>
  </si>
  <si>
    <t>ORD-10079</t>
  </si>
  <si>
    <t>ORD-10131</t>
  </si>
  <si>
    <t>ORD-10126</t>
  </si>
  <si>
    <t>ORD-10437</t>
  </si>
  <si>
    <t>ORD-10116</t>
  </si>
  <si>
    <t>ORD-10288</t>
  </si>
  <si>
    <t>ORD-10129</t>
  </si>
  <si>
    <t>ORD-10228</t>
  </si>
  <si>
    <t>ORD-10424</t>
  </si>
  <si>
    <t>ORD-10266</t>
  </si>
  <si>
    <t>ORD-10242</t>
  </si>
  <si>
    <t>ORD-10260</t>
  </si>
  <si>
    <t>ORD-10270</t>
  </si>
  <si>
    <t>ORD-10468</t>
  </si>
  <si>
    <t>ORD-10455</t>
  </si>
  <si>
    <t>ORD-10394</t>
  </si>
  <si>
    <t>ORD-10494</t>
  </si>
  <si>
    <t>ORD-10137</t>
  </si>
  <si>
    <t>ORD-10490</t>
  </si>
  <si>
    <t>ORD-10193</t>
  </si>
  <si>
    <t>ORD-10269</t>
  </si>
  <si>
    <t>ORD-10323</t>
  </si>
  <si>
    <t>ORD-10343</t>
  </si>
  <si>
    <t>ORD-10240</t>
  </si>
  <si>
    <t>ORD-10245</t>
  </si>
  <si>
    <t>ORD-10085</t>
  </si>
  <si>
    <t>ORD-10040</t>
  </si>
  <si>
    <t>ORD-10192</t>
  </si>
  <si>
    <t>ORD-10341</t>
  </si>
  <si>
    <t>ORD-10475</t>
  </si>
  <si>
    <t>ORD-10130</t>
  </si>
  <si>
    <t>ORD-10458</t>
  </si>
  <si>
    <t>ORD-10099</t>
  </si>
  <si>
    <t>ORD-10026</t>
  </si>
  <si>
    <t>ORD-10244</t>
  </si>
  <si>
    <t>ORD-10123</t>
  </si>
  <si>
    <t>ORD-10003</t>
  </si>
  <si>
    <t>ORD-10316</t>
  </si>
  <si>
    <t>ORD-10255</t>
  </si>
  <si>
    <t>ORD-10156</t>
  </si>
  <si>
    <t>ORD-10372</t>
  </si>
  <si>
    <t>ORD-10446</t>
  </si>
  <si>
    <t>ORD-10108</t>
  </si>
  <si>
    <t>ORD-10237</t>
  </si>
  <si>
    <t>ORD-10162</t>
  </si>
  <si>
    <t>ORD-10479</t>
  </si>
  <si>
    <t>ORD-10311</t>
  </si>
  <si>
    <t>ORD-10122</t>
  </si>
  <si>
    <t>ORD-10283</t>
  </si>
  <si>
    <t>ORD-10080</t>
  </si>
  <si>
    <t>ORD-10312</t>
  </si>
  <si>
    <t>ORD-10257</t>
  </si>
  <si>
    <t>ORD-10416</t>
  </si>
  <si>
    <t>ORD-10049</t>
  </si>
  <si>
    <t>ORD-10060</t>
  </si>
  <si>
    <t>ORD-10191</t>
  </si>
  <si>
    <t>ORD-10098</t>
  </si>
  <si>
    <t>ORD-10075</t>
  </si>
  <si>
    <t>ORD-10422</t>
  </si>
  <si>
    <t>ORD-10008</t>
  </si>
  <si>
    <t>ORD-10184</t>
  </si>
  <si>
    <t>ORD-10175</t>
  </si>
  <si>
    <t>ORD-10086</t>
  </si>
  <si>
    <t>ORD-10043</t>
  </si>
  <si>
    <t>ORD-10204</t>
  </si>
  <si>
    <t>ORD-10223</t>
  </si>
  <si>
    <t>ORD-10110</t>
  </si>
  <si>
    <t>ORD-10177</t>
  </si>
  <si>
    <t>ORD-10015</t>
  </si>
  <si>
    <t>ORD-10212</t>
  </si>
  <si>
    <t>ORD-10430</t>
  </si>
  <si>
    <t>ORD-10395</t>
  </si>
  <si>
    <t>ORD-10236</t>
  </si>
  <si>
    <t>ORD-10225</t>
  </si>
  <si>
    <t>ORD-10174</t>
  </si>
  <si>
    <t>ORD-10461</t>
  </si>
  <si>
    <t>ORD-10318</t>
  </si>
  <si>
    <t>ORD-10317</t>
  </si>
  <si>
    <t>ORD-10377</t>
  </si>
  <si>
    <t>ORD-10013</t>
  </si>
  <si>
    <t>ORD-10215</t>
  </si>
  <si>
    <t>ORD-10432</t>
  </si>
  <si>
    <t>ORD-10471</t>
  </si>
  <si>
    <t>ORD-10062</t>
  </si>
  <si>
    <t>ORD-10059</t>
  </si>
  <si>
    <t>ORD-10378</t>
  </si>
  <si>
    <t>ORD-10391</t>
  </si>
  <si>
    <t>ORD-10360</t>
  </si>
  <si>
    <t>ORD-10463</t>
  </si>
  <si>
    <t>ORD-10493</t>
  </si>
  <si>
    <t>ORD-10247</t>
  </si>
  <si>
    <t>ORD-10234</t>
  </si>
  <si>
    <t>ORD-10042</t>
  </si>
  <si>
    <t>ORD-10051</t>
  </si>
  <si>
    <t>ORD-10014</t>
  </si>
  <si>
    <t>ORD-10207</t>
  </si>
  <si>
    <t>ORD-10128</t>
  </si>
  <si>
    <t>ORD-10423</t>
  </si>
  <si>
    <t>ORD-10489</t>
  </si>
  <si>
    <t>ORD-10320</t>
  </si>
  <si>
    <t>ORD-10089</t>
  </si>
  <si>
    <t>ORD-10370</t>
  </si>
  <si>
    <t>ORD-10173</t>
  </si>
  <si>
    <t>ORD-10002</t>
  </si>
  <si>
    <t>ORD-10402</t>
  </si>
  <si>
    <t>ORD-10112</t>
  </si>
  <si>
    <t>ORD-10210</t>
  </si>
  <si>
    <t>ORD-10050</t>
  </si>
  <si>
    <t>ORD-10107</t>
  </si>
  <si>
    <t>ORD-10278</t>
  </si>
  <si>
    <t>ORD-10025</t>
  </si>
  <si>
    <t>ORD-10476</t>
  </si>
  <si>
    <t>ORD-10160</t>
  </si>
  <si>
    <t>ORD-10016</t>
  </si>
  <si>
    <t>ORD-10106</t>
  </si>
  <si>
    <t>ORD-10213</t>
  </si>
  <si>
    <t>ORD-10249</t>
  </si>
  <si>
    <t>ORD-10261</t>
  </si>
  <si>
    <t>ORD-10105</t>
  </si>
  <si>
    <t>ORD-10484</t>
  </si>
  <si>
    <t>ORD-10071</t>
  </si>
  <si>
    <t>ORD-10135</t>
  </si>
  <si>
    <t>ORD-10103</t>
  </si>
  <si>
    <t>ORD-10092</t>
  </si>
  <si>
    <t>ORD-10428</t>
  </si>
  <si>
    <t>ORD-10472</t>
  </si>
  <si>
    <t>ORD-10291</t>
  </si>
  <si>
    <t>ORD-10336</t>
  </si>
  <si>
    <t>ORD-10227</t>
  </si>
  <si>
    <t>ORD-10166</t>
  </si>
  <si>
    <t>ORD-10149</t>
  </si>
  <si>
    <t>ORD-10028</t>
  </si>
  <si>
    <t>ORD-10433</t>
  </si>
  <si>
    <t>ORD-10302</t>
  </si>
  <si>
    <t>ORD-10038</t>
  </si>
  <si>
    <t>ORD-10334</t>
  </si>
  <si>
    <t>ORD-10482</t>
  </si>
  <si>
    <t>ORD-10084</t>
  </si>
  <si>
    <t>ORD-10388</t>
  </si>
  <si>
    <t>ORD-10090</t>
  </si>
  <si>
    <t>ORD-10101</t>
  </si>
  <si>
    <t>ORD-10459</t>
  </si>
  <si>
    <t>ORD-10019</t>
  </si>
  <si>
    <t>ORD-10093</t>
  </si>
  <si>
    <t>ORD-10361</t>
  </si>
  <si>
    <t>ORD-10477</t>
  </si>
  <si>
    <t>ORD-10297</t>
  </si>
  <si>
    <t>ORD-10146</t>
  </si>
  <si>
    <t>ORD-10151</t>
  </si>
  <si>
    <t>ORD-10125</t>
  </si>
  <si>
    <t>ORD-10232</t>
  </si>
  <si>
    <t>ORD-10037</t>
  </si>
  <si>
    <t>ORD-10006</t>
  </si>
  <si>
    <t>ORD-10427</t>
  </si>
  <si>
    <t>ORD-10492</t>
  </si>
  <si>
    <t>ORD-10396</t>
  </si>
  <si>
    <t>ORD-10375</t>
  </si>
  <si>
    <t>ORD-10035</t>
  </si>
  <si>
    <t>ORD-10389</t>
  </si>
  <si>
    <t>ORD-10362</t>
  </si>
  <si>
    <t>ORD-10048</t>
  </si>
  <si>
    <t>ORD-10358</t>
  </si>
  <si>
    <t>ORD-10364</t>
  </si>
  <si>
    <t>ORD-10095</t>
  </si>
  <si>
    <t>ORD-10304</t>
  </si>
  <si>
    <t>ORD-10179</t>
  </si>
  <si>
    <t>ORD-10220</t>
  </si>
  <si>
    <t>ORD-10067</t>
  </si>
  <si>
    <t>ORD-10345</t>
  </si>
  <si>
    <t>ORD-10202</t>
  </si>
  <si>
    <t>ORD-10153</t>
  </si>
  <si>
    <t>ORD-10324</t>
  </si>
  <si>
    <t>ORD-10061</t>
  </si>
  <si>
    <t>ORD-10264</t>
  </si>
  <si>
    <t>ORD-10452</t>
  </si>
  <si>
    <t>ORD-10499</t>
  </si>
  <si>
    <t>ORD-10024</t>
  </si>
  <si>
    <t>ORD-10438</t>
  </si>
  <si>
    <t>ORD-10421</t>
  </si>
  <si>
    <t>ORD-10470</t>
  </si>
  <si>
    <t>ORD-10491</t>
  </si>
  <si>
    <t>ORD-10348</t>
  </si>
  <si>
    <t>ORD-10382</t>
  </si>
  <si>
    <t>ORD-10409</t>
  </si>
  <si>
    <t>ORD-10286</t>
  </si>
  <si>
    <t>ORD-10319</t>
  </si>
  <si>
    <t>ORD-10181</t>
  </si>
  <si>
    <t>ORD-10081</t>
  </si>
  <si>
    <t>ORD-10383</t>
  </si>
  <si>
    <t>ORD-10340</t>
  </si>
  <si>
    <t>ORD-10448</t>
  </si>
  <si>
    <t>ORD-10293</t>
  </si>
  <si>
    <t>ORD-10274</t>
  </si>
  <si>
    <t>ORD-10451</t>
  </si>
  <si>
    <t>ORD-10195</t>
  </si>
  <si>
    <t>ORD-10200</t>
  </si>
  <si>
    <t>ORD-10337</t>
  </si>
  <si>
    <t>ORD-10466</t>
  </si>
  <si>
    <t>ORD-10417</t>
  </si>
  <si>
    <t>ORD-10208</t>
  </si>
  <si>
    <t>ORD-10064</t>
  </si>
  <si>
    <t>ORD-10355</t>
  </si>
  <si>
    <t>ORD-10404</t>
  </si>
  <si>
    <t>ORD-10046</t>
  </si>
  <si>
    <t>ORD-10325</t>
  </si>
  <si>
    <t>ORD-10441</t>
  </si>
  <si>
    <t>ORD-10012</t>
  </si>
  <si>
    <t>ORD-10141</t>
  </si>
  <si>
    <t>ORD-10347</t>
  </si>
  <si>
    <t>ORD-10265</t>
  </si>
  <si>
    <t>ORD-10356</t>
  </si>
  <si>
    <t>ORD-10145</t>
  </si>
  <si>
    <t>ORD-10161</t>
  </si>
  <si>
    <t>ORD-10401</t>
  </si>
  <si>
    <t>Project Guide</t>
  </si>
  <si>
    <t>Fictional dataset created for portfolio practice; no real customer data is included.</t>
  </si>
  <si>
    <t>1. Inspect Sales_Data and convert the data range into an Excel Table named tblSales.</t>
  </si>
  <si>
    <t>2. Add calculated columns: Revenue (KES), Total Cost (KES), Profit (KES), Profit Margin.</t>
  </si>
  <si>
    <t>3. Build PivotTables by Month, Region, Product, and Category.</t>
  </si>
  <si>
    <t>4. Create a separate Dashboard sheet with KPI cards and charts.</t>
  </si>
  <si>
    <t>5. Document five findings and recommendations in an Insights sheet.</t>
  </si>
  <si>
    <t>Suggested formulas (structured references):</t>
  </si>
  <si>
    <t>Revenue (KES): =[@Quantity]*[@[Unit Price (KES)]]</t>
  </si>
  <si>
    <t>Total Cost (KES): =[@Quantity]*[@[Unit Cost (KES)]]</t>
  </si>
  <si>
    <t>Profit (KES): =[@[Revenue (KES)]]-[@[Total Cost (KES)]]</t>
  </si>
  <si>
    <t>Profit Margin: =IFERROR([@[Profit (KES)]]/[@[Revenue (KES)]],0)</t>
  </si>
  <si>
    <t>Formatting: KES currency with thousands separators; Profit Margin as percentage.</t>
  </si>
  <si>
    <t>Portfolio safety: only publish this fictional practice data; never upload confidential business data.</t>
  </si>
  <si>
    <t>Revenue</t>
  </si>
  <si>
    <t>Total Cost</t>
  </si>
  <si>
    <t>Profit</t>
  </si>
  <si>
    <t>Profit margin</t>
  </si>
  <si>
    <t>Row Labels</t>
  </si>
  <si>
    <t>Grand Total</t>
  </si>
  <si>
    <t>Sum of Revenue</t>
  </si>
  <si>
    <t>Sum of Profit</t>
  </si>
  <si>
    <t>Analysing sales perfomance  complete</t>
  </si>
  <si>
    <t>MONTHLY SALES PERFORMANCE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</si>
  <si>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</si>
  <si>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</si>
  <si>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</si>
  <si>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</si>
  <si>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</si>
  <si>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</si>
  <si>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</si>
  <si>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</si>
  <si>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</si>
  <si>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</si>
  <si>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</si>
  <si>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</si>
  <si>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Profits</t>
  </si>
  <si>
    <t>TOTAL ORDERS</t>
  </si>
  <si>
    <t>Profit Margin</t>
  </si>
  <si>
    <t>Column Labels</t>
  </si>
  <si>
    <t>Count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</si>
</sst>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4532D"/>
      </patternFill>
    </fill>
    <fill>
      <patternFill patternType="solid">
        <fgColor rgb="FF14532D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5">
    <xf numFmtId="0" fontId="0" fillId="0" borderId="0" xfId="0"/>
    <xf numFmtId="165" fontId="0" fillId="0" borderId="0" xfId="0" applyNumberFormat="1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vertical="top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4" fontId="0" fillId="0" borderId="0" xfId="0" applyNumberFormat="1"/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4" fontId="3" fillId="5" borderId="0" xfId="0" applyNumberFormat="1" applyFont="1" applyFill="1" applyAlignment="1">
      <alignment horizontal="center" vertical="center"/>
    </xf>
    <xf numFmtId="4" fontId="0" fillId="5" borderId="0" xfId="0" applyNumberFormat="1" applyFill="1" applyAlignment="1">
      <alignment horizontal="center" vertical="center"/>
    </xf>
    <xf numFmtId="0" fontId="8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4" fontId="8" fillId="6" borderId="0" xfId="0" applyNumberFormat="1" applyFont="1" applyFill="1" applyAlignment="1">
      <alignment horizontal="center"/>
    </xf>
    <xf numFmtId="0" fontId="0" fillId="7" borderId="0" xfId="0" applyFill="1" applyAlignment="1">
      <alignment horizontal="center"/>
    </xf>
    <xf numFmtId="9" fontId="0" fillId="7" borderId="0" xfId="1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4" fontId="7" fillId="4" borderId="0" xfId="0" applyNumberFormat="1" applyFont="1" applyFill="1" applyAlignment="1">
      <alignment horizontal="center"/>
    </xf>
    <xf numFmtId="4" fontId="0" fillId="4" borderId="0" xfId="0" applyNumberFormat="1" applyFill="1" applyAlignment="1">
      <alignment horizontal="center"/>
    </xf>
    <xf numFmtId="0" fontId="0" fillId="0" borderId="0" xfId="0" applyNumberFormat="1"/>
    <xf numFmtId="0" fontId="0" fillId="0" borderId="0" xfId="0" applyAlignment="1"/>
  </cellXfs>
  <cellStyles count="2">
    <cellStyle name="Normal" xfId="0" builtinId="0"/>
    <cellStyle name="Percent" xfId="1" builtinId="5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4532D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[JoForge_Excel_Sales_Analysis_Starter (Repaired).xlsx]Dashboard!PivotTable2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Monthly</a:t>
            </a:r>
            <a:r>
              <a:rPr lang="en-US" baseline="0">
                <a:solidFill>
                  <a:srgbClr val="FF0000"/>
                </a:solidFill>
              </a:rPr>
              <a:t> Revenue &amp; Profit - 2025</a:t>
            </a:r>
            <a:endParaRPr lang="en-US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38640879129638339"/>
          <c:y val="3.268459367107415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131629581137343"/>
          <c:y val="0.21094141534195018"/>
          <c:w val="0.5664181423260668"/>
          <c:h val="0.44124795721289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Dashboard!$B$11</c:f>
              <c:strCache>
                <c:ptCount val="1"/>
                <c:pt idx="0">
                  <c:v>Sum of 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Dashboard!$A$12:$A$24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Dashboard!$B$12:$B$24</c:f>
              <c:numCache>
                <c:formatCode>#,##0.00</c:formatCode>
                <c:ptCount val="12"/>
                <c:pt idx="0">
                  <c:v>906140</c:v>
                </c:pt>
                <c:pt idx="1">
                  <c:v>3719960</c:v>
                </c:pt>
                <c:pt idx="2">
                  <c:v>3388260</c:v>
                </c:pt>
                <c:pt idx="3">
                  <c:v>1808860</c:v>
                </c:pt>
                <c:pt idx="4">
                  <c:v>1951665</c:v>
                </c:pt>
                <c:pt idx="5">
                  <c:v>2105697.5</c:v>
                </c:pt>
                <c:pt idx="6">
                  <c:v>2037385</c:v>
                </c:pt>
                <c:pt idx="7">
                  <c:v>3831170</c:v>
                </c:pt>
                <c:pt idx="8">
                  <c:v>2484285</c:v>
                </c:pt>
                <c:pt idx="9">
                  <c:v>1780105</c:v>
                </c:pt>
                <c:pt idx="10">
                  <c:v>1097737.5</c:v>
                </c:pt>
                <c:pt idx="11">
                  <c:v>1913967.5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ED-458F-97FD-EE55D868B976}"/>
            </c:ext>
          </c:extLst>
        </c:ser>
        <c:ser>
          <c:idx val="1"/>
          <c:order val="1"/>
          <c:tx>
            <c:strRef>
              <c:f>Dashboard!$C$11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Dashboard!$A$12:$A$24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Dashboard!$C$12:$C$24</c:f>
              <c:numCache>
                <c:formatCode>#,##0.00</c:formatCode>
                <c:ptCount val="12"/>
                <c:pt idx="0">
                  <c:v>293180</c:v>
                </c:pt>
                <c:pt idx="1">
                  <c:v>879330</c:v>
                </c:pt>
                <c:pt idx="2">
                  <c:v>808190</c:v>
                </c:pt>
                <c:pt idx="3">
                  <c:v>421820</c:v>
                </c:pt>
                <c:pt idx="4">
                  <c:v>486765</c:v>
                </c:pt>
                <c:pt idx="5">
                  <c:v>571957.5</c:v>
                </c:pt>
                <c:pt idx="6">
                  <c:v>533155</c:v>
                </c:pt>
                <c:pt idx="7">
                  <c:v>853380</c:v>
                </c:pt>
                <c:pt idx="8">
                  <c:v>595485</c:v>
                </c:pt>
                <c:pt idx="9">
                  <c:v>496225</c:v>
                </c:pt>
                <c:pt idx="10">
                  <c:v>302347.5</c:v>
                </c:pt>
                <c:pt idx="11">
                  <c:v>543717.5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C-C118-4EA9-BA73-2B894C29C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7623775"/>
        <c:axId val="1811034047"/>
      </c:barChart>
      <c:catAx>
        <c:axId val="1867623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>
                    <a:solidFill>
                      <a:srgbClr val="FF0000"/>
                    </a:solidFill>
                  </a:rPr>
                  <a:t>Month</a:t>
                </a:r>
                <a:endParaRPr lang="en-US">
                  <a:solidFill>
                    <a:srgbClr val="FF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1034047"/>
        <c:crosses val="autoZero"/>
        <c:auto val="1"/>
        <c:lblAlgn val="ctr"/>
        <c:lblOffset val="100"/>
        <c:noMultiLvlLbl val="0"/>
      </c:catAx>
      <c:valAx>
        <c:axId val="181103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rgbClr val="FF0000"/>
                    </a:solidFill>
                  </a:rPr>
                  <a:t>Amount (kes)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623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[JoForge_Excel_Sales_Analysis_Starter (Repaired).xlsx]Dashboard!PivotTable3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Regions in kenya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Dashboard!$L$3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Dashboard!$K$4:$K$9</c:f>
              <c:strCache>
                <c:ptCount val="5"/>
                <c:pt idx="0">
                  <c:v>Central</c:v>
                </c:pt>
                <c:pt idx="1">
                  <c:v>Coast</c:v>
                </c:pt>
                <c:pt idx="2">
                  <c:v>Nairobi</c:v>
                </c:pt>
                <c:pt idx="3">
                  <c:v>Rift Valley</c:v>
                </c:pt>
                <c:pt idx="4">
                  <c:v>Western</c:v>
                </c:pt>
              </c:strCache>
            </c:strRef>
          </c:cat>
          <c:val>
            <c:numRef>
              <c:f>Dashboard!$L$4:$L$9</c:f>
              <c:numCache>
                <c:formatCode>General</c:formatCode>
                <c:ptCount val="5"/>
                <c:pt idx="0">
                  <c:v>2166595</c:v>
                </c:pt>
                <c:pt idx="1">
                  <c:v>3076540</c:v>
                </c:pt>
                <c:pt idx="2">
                  <c:v>10305310</c:v>
                </c:pt>
                <c:pt idx="3">
                  <c:v>7011992.5</c:v>
                </c:pt>
                <c:pt idx="4">
                  <c:v>4464795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53-45F9-9101-DF7128633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18762048"/>
        <c:axId val="1618764448"/>
        <c:axId val="0"/>
      </c:bar3DChart>
      <c:catAx>
        <c:axId val="1618762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764448"/>
        <c:crosses val="autoZero"/>
        <c:auto val="1"/>
        <c:lblAlgn val="ctr"/>
        <c:lblOffset val="100"/>
        <c:noMultiLvlLbl val="0"/>
      </c:catAx>
      <c:valAx>
        <c:axId val="1618764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762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[JoForge_Excel_Sales_Analysis_Starter (Repaired).xlsx]Dashboard!PivotTable4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7035870516185475"/>
          <c:y val="0.15999562554680666"/>
          <c:w val="0.59671959755030624"/>
          <c:h val="0.6076742490522018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Dashboard!$B$27</c:f>
              <c:strCache>
                <c:ptCount val="1"/>
                <c:pt idx="0">
                  <c:v>Sum of 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Dashboard!$A$28:$A$32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Office Supplies</c:v>
                </c:pt>
              </c:strCache>
            </c:strRef>
          </c:cat>
          <c:val>
            <c:numRef>
              <c:f>Dashboard!$B$28:$B$32</c:f>
              <c:numCache>
                <c:formatCode>General</c:formatCode>
                <c:ptCount val="4"/>
                <c:pt idx="0">
                  <c:v>1469705</c:v>
                </c:pt>
                <c:pt idx="1">
                  <c:v>19716600</c:v>
                </c:pt>
                <c:pt idx="2">
                  <c:v>3179300</c:v>
                </c:pt>
                <c:pt idx="3">
                  <c:v>2659627.5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5F-4F7E-B95C-75ACDDE7920F}"/>
            </c:ext>
          </c:extLst>
        </c:ser>
        <c:ser>
          <c:idx val="1"/>
          <c:order val="1"/>
          <c:tx>
            <c:strRef>
              <c:f>Dashboard!$C$27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Dashboard!$A$28:$A$32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Office Supplies</c:v>
                </c:pt>
              </c:strCache>
            </c:strRef>
          </c:cat>
          <c:val>
            <c:numRef>
              <c:f>Dashboard!$C$28:$C$32</c:f>
              <c:numCache>
                <c:formatCode>General</c:formatCode>
                <c:ptCount val="4"/>
                <c:pt idx="0">
                  <c:v>758955</c:v>
                </c:pt>
                <c:pt idx="1">
                  <c:v>4429800</c:v>
                </c:pt>
                <c:pt idx="2">
                  <c:v>988300</c:v>
                </c:pt>
                <c:pt idx="3">
                  <c:v>608497.5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5F-4F7E-B95C-75ACDDE792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19126528"/>
        <c:axId val="1519134688"/>
        <c:axId val="1683177584"/>
      </c:bar3DChart>
      <c:catAx>
        <c:axId val="1519126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134688"/>
        <c:crosses val="autoZero"/>
        <c:auto val="1"/>
        <c:lblAlgn val="ctr"/>
        <c:lblOffset val="100"/>
        <c:noMultiLvlLbl val="0"/>
      </c:catAx>
      <c:valAx>
        <c:axId val="151913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126528"/>
        <c:crosses val="autoZero"/>
        <c:crossBetween val="between"/>
      </c:valAx>
      <c:serAx>
        <c:axId val="168317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134688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[JoForge_Excel_Sales_Analysis_Starter (Repaired).xlsx]Dashboard!PivotTable5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Dashboard!$J$27:$J$28</c:f>
              <c:strCache>
                <c:ptCount val="1"/>
                <c:pt idx="0">
                  <c:v>Accessories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Dashboard!$I$29:$I$34</c:f>
              <c:strCache>
                <c:ptCount val="5"/>
                <c:pt idx="0">
                  <c:v>Central</c:v>
                </c:pt>
                <c:pt idx="1">
                  <c:v>Coast</c:v>
                </c:pt>
                <c:pt idx="2">
                  <c:v>Nairobi</c:v>
                </c:pt>
                <c:pt idx="3">
                  <c:v>Rift Valley</c:v>
                </c:pt>
                <c:pt idx="4">
                  <c:v>Western</c:v>
                </c:pt>
              </c:strCache>
            </c:strRef>
          </c:cat>
          <c:val>
            <c:numRef>
              <c:f>Dashboard!$J$29:$J$34</c:f>
              <c:numCache>
                <c:formatCode>General</c:formatCode>
                <c:ptCount val="5"/>
                <c:pt idx="0">
                  <c:v>34</c:v>
                </c:pt>
                <c:pt idx="1">
                  <c:v>23</c:v>
                </c:pt>
                <c:pt idx="2">
                  <c:v>75</c:v>
                </c:pt>
                <c:pt idx="3">
                  <c:v>56</c:v>
                </c:pt>
                <c:pt idx="4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04-40F3-9FB6-536A75035A95}"/>
            </c:ext>
          </c:extLst>
        </c:ser>
        <c:ser>
          <c:idx val="1"/>
          <c:order val="1"/>
          <c:tx>
            <c:strRef>
              <c:f>Dashboard!$K$27:$K$28</c:f>
              <c:strCache>
                <c:ptCount val="1"/>
                <c:pt idx="0">
                  <c:v>Electronics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Dashboard!$I$29:$I$34</c:f>
              <c:strCache>
                <c:ptCount val="5"/>
                <c:pt idx="0">
                  <c:v>Central</c:v>
                </c:pt>
                <c:pt idx="1">
                  <c:v>Coast</c:v>
                </c:pt>
                <c:pt idx="2">
                  <c:v>Nairobi</c:v>
                </c:pt>
                <c:pt idx="3">
                  <c:v>Rift Valley</c:v>
                </c:pt>
                <c:pt idx="4">
                  <c:v>Western</c:v>
                </c:pt>
              </c:strCache>
            </c:strRef>
          </c:cat>
          <c:val>
            <c:numRef>
              <c:f>Dashboard!$K$29:$K$34</c:f>
              <c:numCache>
                <c:formatCode>General</c:formatCode>
                <c:ptCount val="5"/>
                <c:pt idx="0">
                  <c:v>12</c:v>
                </c:pt>
                <c:pt idx="1">
                  <c:v>20</c:v>
                </c:pt>
                <c:pt idx="2">
                  <c:v>47</c:v>
                </c:pt>
                <c:pt idx="3">
                  <c:v>42</c:v>
                </c:pt>
                <c:pt idx="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04-40F3-9FB6-536A75035A95}"/>
            </c:ext>
          </c:extLst>
        </c:ser>
        <c:ser>
          <c:idx val="2"/>
          <c:order val="2"/>
          <c:tx>
            <c:strRef>
              <c:f>Dashboard!$L$27:$L$28</c:f>
              <c:strCache>
                <c:ptCount val="1"/>
                <c:pt idx="0">
                  <c:v>Furniture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Dashboard!$I$29:$I$34</c:f>
              <c:strCache>
                <c:ptCount val="5"/>
                <c:pt idx="0">
                  <c:v>Central</c:v>
                </c:pt>
                <c:pt idx="1">
                  <c:v>Coast</c:v>
                </c:pt>
                <c:pt idx="2">
                  <c:v>Nairobi</c:v>
                </c:pt>
                <c:pt idx="3">
                  <c:v>Rift Valley</c:v>
                </c:pt>
                <c:pt idx="4">
                  <c:v>Western</c:v>
                </c:pt>
              </c:strCache>
            </c:strRef>
          </c:cat>
          <c:val>
            <c:numRef>
              <c:f>Dashboard!$L$29:$L$34</c:f>
              <c:numCache>
                <c:formatCode>General</c:formatCode>
                <c:ptCount val="5"/>
                <c:pt idx="0">
                  <c:v>10</c:v>
                </c:pt>
                <c:pt idx="1">
                  <c:v>7</c:v>
                </c:pt>
                <c:pt idx="2">
                  <c:v>17</c:v>
                </c:pt>
                <c:pt idx="3">
                  <c:v>14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04-40F3-9FB6-536A75035A95}"/>
            </c:ext>
          </c:extLst>
        </c:ser>
        <c:ser>
          <c:idx val="3"/>
          <c:order val="3"/>
          <c:tx>
            <c:strRef>
              <c:f>Dashboard!$M$27:$M$28</c:f>
              <c:strCache>
                <c:ptCount val="1"/>
                <c:pt idx="0">
                  <c:v>Office Supplies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hade val="51000"/>
                    <a:satMod val="130000"/>
                  </a:schemeClr>
                </a:gs>
                <a:gs pos="80000">
                  <a:schemeClr val="accent2">
                    <a:lumMod val="60000"/>
                    <a:shade val="93000"/>
                    <a:satMod val="130000"/>
                  </a:schemeClr>
                </a:gs>
                <a:gs pos="100000">
                  <a:schemeClr val="accent2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Dashboard!$I$29:$I$34</c:f>
              <c:strCache>
                <c:ptCount val="5"/>
                <c:pt idx="0">
                  <c:v>Central</c:v>
                </c:pt>
                <c:pt idx="1">
                  <c:v>Coast</c:v>
                </c:pt>
                <c:pt idx="2">
                  <c:v>Nairobi</c:v>
                </c:pt>
                <c:pt idx="3">
                  <c:v>Rift Valley</c:v>
                </c:pt>
                <c:pt idx="4">
                  <c:v>Western</c:v>
                </c:pt>
              </c:strCache>
            </c:strRef>
          </c:cat>
          <c:val>
            <c:numRef>
              <c:f>Dashboard!$M$29:$M$34</c:f>
              <c:numCache>
                <c:formatCode>General</c:formatCode>
                <c:ptCount val="5"/>
                <c:pt idx="0">
                  <c:v>19</c:v>
                </c:pt>
                <c:pt idx="1">
                  <c:v>8</c:v>
                </c:pt>
                <c:pt idx="2">
                  <c:v>28</c:v>
                </c:pt>
                <c:pt idx="3">
                  <c:v>17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604-40F3-9FB6-536A75035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82061248"/>
        <c:axId val="1782061728"/>
      </c:barChart>
      <c:catAx>
        <c:axId val="1782061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061728"/>
        <c:crosses val="autoZero"/>
        <c:auto val="1"/>
        <c:lblAlgn val="ctr"/>
        <c:lblOffset val="100"/>
        <c:noMultiLvlLbl val="0"/>
      </c:catAx>
      <c:valAx>
        <c:axId val="1782061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061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6</xdr:row>
      <xdr:rowOff>123825</xdr:rowOff>
    </xdr:from>
    <xdr:to>
      <xdr:col>9</xdr:col>
      <xdr:colOff>323849</xdr:colOff>
      <xdr:row>22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B5C782-6F34-C3D1-D45E-0825DB98DC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428624</xdr:colOff>
      <xdr:row>9</xdr:row>
      <xdr:rowOff>66675</xdr:rowOff>
    </xdr:from>
    <xdr:to>
      <xdr:col>14</xdr:col>
      <xdr:colOff>133349</xdr:colOff>
      <xdr:row>23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BE33D2-F092-6B82-153D-A27065767C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28575</xdr:colOff>
      <xdr:row>23</xdr:row>
      <xdr:rowOff>28575</xdr:rowOff>
    </xdr:from>
    <xdr:to>
      <xdr:col>7</xdr:col>
      <xdr:colOff>762000</xdr:colOff>
      <xdr:row>37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D1201E-080D-5DA0-4AB8-8DE1AB55CA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800100</xdr:colOff>
      <xdr:row>23</xdr:row>
      <xdr:rowOff>180975</xdr:rowOff>
    </xdr:from>
    <xdr:to>
      <xdr:col>15</xdr:col>
      <xdr:colOff>304800</xdr:colOff>
      <xdr:row>38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B4D959A-F2B9-ABD4-8F00-58AAAC6443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PC" refreshedDate="46323.551117939816" createdVersion="8" refreshedVersion="8" minRefreshableVersion="3" recordCount="500" xr:uid="{F7E8F4E5-A36B-4C77-85AF-3E93E2F6A7BA}">
  <cacheSource type="worksheet">
    <worksheetSource name="tblSales"/>
  </cacheSource>
  <cacheFields count="15">
    <cacheField name="Order ID" numFmtId="0">
      <sharedItems count="500">
        <s v="ORD-10381"/>
        <s v="ORD-10465"/>
        <s v="ORD-10104"/>
        <s v="ORD-10303"/>
        <s v="ORD-10410"/>
        <s v="ORD-10478"/>
        <s v="ORD-10415"/>
        <s v="ORD-10233"/>
        <s v="ORD-10300"/>
        <s v="ORD-10170"/>
        <s v="ORD-10369"/>
        <s v="ORD-10272"/>
        <s v="ORD-10454"/>
        <s v="ORD-10429"/>
        <s v="ORD-10138"/>
        <s v="ORD-10385"/>
        <s v="ORD-10147"/>
        <s v="ORD-10117"/>
        <s v="ORD-10328"/>
        <s v="ORD-10250"/>
        <s v="ORD-10056"/>
        <s v="ORD-10352"/>
        <s v="ORD-10397"/>
        <s v="ORD-10150"/>
        <s v="ORD-10036"/>
        <s v="ORD-10279"/>
        <s v="ORD-10387"/>
        <s v="ORD-10045"/>
        <s v="ORD-10069"/>
        <s v="ORD-10217"/>
        <s v="ORD-10127"/>
        <s v="ORD-10439"/>
        <s v="ORD-10280"/>
        <s v="ORD-10431"/>
        <s v="ORD-10246"/>
        <s v="ORD-10007"/>
        <s v="ORD-10196"/>
        <s v="ORD-10172"/>
        <s v="ORD-10001"/>
        <s v="ORD-10133"/>
        <s v="ORD-10359"/>
        <s v="ORD-10033"/>
        <s v="ORD-10243"/>
        <s v="ORD-10376"/>
        <s v="ORD-10010"/>
        <s v="ORD-10087"/>
        <s v="ORD-10218"/>
        <s v="ORD-10258"/>
        <s v="ORD-10460"/>
        <s v="ORD-10171"/>
        <s v="ORD-10310"/>
        <s v="ORD-10322"/>
        <s v="ORD-10480"/>
        <s v="ORD-10120"/>
        <s v="ORD-10365"/>
        <s v="ORD-10313"/>
        <s v="ORD-10198"/>
        <s v="ORD-10497"/>
        <s v="ORD-10386"/>
        <s v="ORD-10418"/>
        <s v="ORD-10436"/>
        <s v="ORD-10018"/>
        <s v="ORD-10221"/>
        <s v="ORD-10157"/>
        <s v="ORD-10434"/>
        <s v="ORD-10074"/>
        <s v="ORD-10414"/>
        <s v="ORD-10443"/>
        <s v="ORD-10118"/>
        <s v="ORD-10329"/>
        <s v="ORD-10462"/>
        <s v="ORD-10100"/>
        <s v="ORD-10241"/>
        <s v="ORD-10306"/>
        <s v="ORD-10256"/>
        <s v="ORD-10408"/>
        <s v="ORD-10457"/>
        <s v="ORD-10273"/>
        <s v="ORD-10390"/>
        <s v="ORD-10357"/>
        <s v="ORD-10182"/>
        <s v="ORD-10058"/>
        <s v="ORD-10287"/>
        <s v="ORD-10083"/>
        <s v="ORD-10178"/>
        <s v="ORD-10187"/>
        <s v="ORD-10041"/>
        <s v="ORD-10467"/>
        <s v="ORD-10350"/>
        <s v="ORD-10168"/>
        <s v="ORD-10262"/>
        <s v="ORD-10259"/>
        <s v="ORD-10411"/>
        <s v="ORD-10230"/>
        <s v="ORD-10349"/>
        <s v="ORD-10392"/>
        <s v="ORD-10251"/>
        <s v="ORD-10023"/>
        <s v="ORD-10469"/>
        <s v="ORD-10253"/>
        <s v="ORD-10072"/>
        <s v="ORD-10398"/>
        <s v="ORD-10052"/>
        <s v="ORD-10102"/>
        <s v="ORD-10426"/>
        <s v="ORD-10009"/>
        <s v="ORD-10339"/>
        <s v="ORD-10224"/>
        <s v="ORD-10142"/>
        <s v="ORD-10363"/>
        <s v="ORD-10078"/>
        <s v="ORD-10032"/>
        <s v="ORD-10412"/>
        <s v="ORD-10486"/>
        <s v="ORD-10326"/>
        <s v="ORD-10148"/>
        <s v="ORD-10327"/>
        <s v="ORD-10384"/>
        <s v="ORD-10189"/>
        <s v="ORD-10097"/>
        <s v="ORD-10119"/>
        <s v="ORD-10315"/>
        <s v="ORD-10483"/>
        <s v="ORD-10346"/>
        <s v="ORD-10211"/>
        <s v="ORD-10380"/>
        <s v="ORD-10209"/>
        <s v="ORD-10206"/>
        <s v="ORD-10292"/>
        <s v="ORD-10216"/>
        <s v="ORD-10143"/>
        <s v="ORD-10281"/>
        <s v="ORD-10413"/>
        <s v="ORD-10039"/>
        <s v="ORD-10111"/>
        <s v="ORD-10152"/>
        <s v="ORD-10399"/>
        <s v="ORD-10314"/>
        <s v="ORD-10299"/>
        <s v="ORD-10450"/>
        <s v="ORD-10481"/>
        <s v="ORD-10495"/>
        <s v="ORD-10096"/>
        <s v="ORD-10342"/>
        <s v="ORD-10154"/>
        <s v="ORD-10271"/>
        <s v="ORD-10419"/>
        <s v="ORD-10353"/>
        <s v="ORD-10442"/>
        <s v="ORD-10263"/>
        <s v="ORD-10307"/>
        <s v="ORD-10136"/>
        <s v="ORD-10190"/>
        <s v="ORD-10226"/>
        <s v="ORD-10239"/>
        <s v="ORD-10400"/>
        <s v="ORD-10333"/>
        <s v="ORD-10088"/>
        <s v="ORD-10447"/>
        <s v="ORD-10368"/>
        <s v="ORD-10338"/>
        <s v="ORD-10309"/>
        <s v="ORD-10403"/>
        <s v="ORD-10167"/>
        <s v="ORD-10321"/>
        <s v="ORD-10066"/>
        <s v="ORD-10254"/>
        <s v="ORD-10077"/>
        <s v="ORD-10294"/>
        <s v="ORD-10487"/>
        <s v="ORD-10371"/>
        <s v="ORD-10169"/>
        <s v="ORD-10199"/>
        <s v="ORD-10197"/>
        <s v="ORD-10268"/>
        <s v="ORD-10139"/>
        <s v="ORD-10044"/>
        <s v="ORD-10053"/>
        <s v="ORD-10301"/>
        <s v="ORD-10194"/>
        <s v="ORD-10201"/>
        <s v="ORD-10063"/>
        <s v="ORD-10393"/>
        <s v="ORD-10332"/>
        <s v="ORD-10022"/>
        <s v="ORD-10068"/>
        <s v="ORD-10498"/>
        <s v="ORD-10374"/>
        <s v="ORD-10379"/>
        <s v="ORD-10188"/>
        <s v="ORD-10094"/>
        <s v="ORD-10440"/>
        <s v="ORD-10027"/>
        <s v="ORD-10164"/>
        <s v="ORD-10163"/>
        <s v="ORD-10373"/>
        <s v="ORD-10144"/>
        <s v="ORD-10065"/>
        <s v="ORD-10496"/>
        <s v="ORD-10248"/>
        <s v="ORD-10275"/>
        <s v="ORD-10165"/>
        <s v="ORD-10464"/>
        <s v="ORD-10425"/>
        <s v="ORD-10500"/>
        <s v="ORD-10238"/>
        <s v="ORD-10473"/>
        <s v="ORD-10407"/>
        <s v="ORD-10435"/>
        <s v="ORD-10005"/>
        <s v="ORD-10091"/>
        <s v="ORD-10354"/>
        <s v="ORD-10155"/>
        <s v="ORD-10082"/>
        <s v="ORD-10140"/>
        <s v="ORD-10004"/>
        <s v="ORD-10121"/>
        <s v="ORD-10298"/>
        <s v="ORD-10030"/>
        <s v="ORD-10285"/>
        <s v="ORD-10047"/>
        <s v="ORD-10186"/>
        <s v="ORD-10219"/>
        <s v="ORD-10267"/>
        <s v="ORD-10214"/>
        <s v="ORD-10031"/>
        <s v="ORD-10020"/>
        <s v="ORD-10205"/>
        <s v="ORD-10222"/>
        <s v="ORD-10114"/>
        <s v="ORD-10335"/>
        <s v="ORD-10073"/>
        <s v="ORD-10176"/>
        <s v="ORD-10485"/>
        <s v="ORD-10231"/>
        <s v="ORD-10474"/>
        <s v="ORD-10277"/>
        <s v="ORD-10054"/>
        <s v="ORD-10367"/>
        <s v="ORD-10124"/>
        <s v="ORD-10070"/>
        <s v="ORD-10109"/>
        <s v="ORD-10290"/>
        <s v="ORD-10076"/>
        <s v="ORD-10276"/>
        <s v="ORD-10282"/>
        <s v="ORD-10444"/>
        <s v="ORD-10235"/>
        <s v="ORD-10284"/>
        <s v="ORD-10203"/>
        <s v="ORD-10252"/>
        <s v="ORD-10185"/>
        <s v="ORD-10055"/>
        <s v="ORD-10183"/>
        <s v="ORD-10021"/>
        <s v="ORD-10180"/>
        <s v="ORD-10453"/>
        <s v="ORD-10406"/>
        <s v="ORD-10405"/>
        <s v="ORD-10420"/>
        <s v="ORD-10115"/>
        <s v="ORD-10159"/>
        <s v="ORD-10445"/>
        <s v="ORD-10017"/>
        <s v="ORD-10344"/>
        <s v="ORD-10366"/>
        <s v="ORD-10449"/>
        <s v="ORD-10296"/>
        <s v="ORD-10011"/>
        <s v="ORD-10488"/>
        <s v="ORD-10351"/>
        <s v="ORD-10289"/>
        <s v="ORD-10305"/>
        <s v="ORD-10295"/>
        <s v="ORD-10229"/>
        <s v="ORD-10029"/>
        <s v="ORD-10057"/>
        <s v="ORD-10331"/>
        <s v="ORD-10308"/>
        <s v="ORD-10456"/>
        <s v="ORD-10132"/>
        <s v="ORD-10330"/>
        <s v="ORD-10113"/>
        <s v="ORD-10034"/>
        <s v="ORD-10158"/>
        <s v="ORD-10134"/>
        <s v="ORD-10079"/>
        <s v="ORD-10131"/>
        <s v="ORD-10126"/>
        <s v="ORD-10437"/>
        <s v="ORD-10116"/>
        <s v="ORD-10288"/>
        <s v="ORD-10129"/>
        <s v="ORD-10228"/>
        <s v="ORD-10424"/>
        <s v="ORD-10266"/>
        <s v="ORD-10242"/>
        <s v="ORD-10260"/>
        <s v="ORD-10270"/>
        <s v="ORD-10468"/>
        <s v="ORD-10455"/>
        <s v="ORD-10394"/>
        <s v="ORD-10494"/>
        <s v="ORD-10137"/>
        <s v="ORD-10490"/>
        <s v="ORD-10193"/>
        <s v="ORD-10269"/>
        <s v="ORD-10323"/>
        <s v="ORD-10343"/>
        <s v="ORD-10240"/>
        <s v="ORD-10245"/>
        <s v="ORD-10085"/>
        <s v="ORD-10040"/>
        <s v="ORD-10192"/>
        <s v="ORD-10341"/>
        <s v="ORD-10475"/>
        <s v="ORD-10130"/>
        <s v="ORD-10458"/>
        <s v="ORD-10099"/>
        <s v="ORD-10026"/>
        <s v="ORD-10244"/>
        <s v="ORD-10123"/>
        <s v="ORD-10003"/>
        <s v="ORD-10316"/>
        <s v="ORD-10255"/>
        <s v="ORD-10156"/>
        <s v="ORD-10372"/>
        <s v="ORD-10446"/>
        <s v="ORD-10108"/>
        <s v="ORD-10237"/>
        <s v="ORD-10162"/>
        <s v="ORD-10479"/>
        <s v="ORD-10311"/>
        <s v="ORD-10122"/>
        <s v="ORD-10283"/>
        <s v="ORD-10080"/>
        <s v="ORD-10312"/>
        <s v="ORD-10257"/>
        <s v="ORD-10416"/>
        <s v="ORD-10049"/>
        <s v="ORD-10060"/>
        <s v="ORD-10191"/>
        <s v="ORD-10098"/>
        <s v="ORD-10075"/>
        <s v="ORD-10422"/>
        <s v="ORD-10008"/>
        <s v="ORD-10184"/>
        <s v="ORD-10175"/>
        <s v="ORD-10086"/>
        <s v="ORD-10043"/>
        <s v="ORD-10204"/>
        <s v="ORD-10223"/>
        <s v="ORD-10110"/>
        <s v="ORD-10177"/>
        <s v="ORD-10015"/>
        <s v="ORD-10212"/>
        <s v="ORD-10430"/>
        <s v="ORD-10395"/>
        <s v="ORD-10236"/>
        <s v="ORD-10225"/>
        <s v="ORD-10174"/>
        <s v="ORD-10461"/>
        <s v="ORD-10318"/>
        <s v="ORD-10317"/>
        <s v="ORD-10377"/>
        <s v="ORD-10013"/>
        <s v="ORD-10215"/>
        <s v="ORD-10432"/>
        <s v="ORD-10471"/>
        <s v="ORD-10062"/>
        <s v="ORD-10059"/>
        <s v="ORD-10378"/>
        <s v="ORD-10391"/>
        <s v="ORD-10360"/>
        <s v="ORD-10463"/>
        <s v="ORD-10493"/>
        <s v="ORD-10247"/>
        <s v="ORD-10234"/>
        <s v="ORD-10042"/>
        <s v="ORD-10051"/>
        <s v="ORD-10014"/>
        <s v="ORD-10207"/>
        <s v="ORD-10128"/>
        <s v="ORD-10423"/>
        <s v="ORD-10489"/>
        <s v="ORD-10320"/>
        <s v="ORD-10089"/>
        <s v="ORD-10370"/>
        <s v="ORD-10173"/>
        <s v="ORD-10002"/>
        <s v="ORD-10402"/>
        <s v="ORD-10112"/>
        <s v="ORD-10210"/>
        <s v="ORD-10050"/>
        <s v="ORD-10107"/>
        <s v="ORD-10278"/>
        <s v="ORD-10025"/>
        <s v="ORD-10476"/>
        <s v="ORD-10160"/>
        <s v="ORD-10016"/>
        <s v="ORD-10106"/>
        <s v="ORD-10213"/>
        <s v="ORD-10249"/>
        <s v="ORD-10261"/>
        <s v="ORD-10105"/>
        <s v="ORD-10484"/>
        <s v="ORD-10071"/>
        <s v="ORD-10135"/>
        <s v="ORD-10103"/>
        <s v="ORD-10092"/>
        <s v="ORD-10428"/>
        <s v="ORD-10472"/>
        <s v="ORD-10291"/>
        <s v="ORD-10336"/>
        <s v="ORD-10227"/>
        <s v="ORD-10166"/>
        <s v="ORD-10149"/>
        <s v="ORD-10028"/>
        <s v="ORD-10433"/>
        <s v="ORD-10302"/>
        <s v="ORD-10038"/>
        <s v="ORD-10334"/>
        <s v="ORD-10482"/>
        <s v="ORD-10084"/>
        <s v="ORD-10388"/>
        <s v="ORD-10090"/>
        <s v="ORD-10101"/>
        <s v="ORD-10459"/>
        <s v="ORD-10019"/>
        <s v="ORD-10093"/>
        <s v="ORD-10361"/>
        <s v="ORD-10477"/>
        <s v="ORD-10297"/>
        <s v="ORD-10146"/>
        <s v="ORD-10151"/>
        <s v="ORD-10125"/>
        <s v="ORD-10232"/>
        <s v="ORD-10037"/>
        <s v="ORD-10006"/>
        <s v="ORD-10427"/>
        <s v="ORD-10492"/>
        <s v="ORD-10396"/>
        <s v="ORD-10375"/>
        <s v="ORD-10035"/>
        <s v="ORD-10389"/>
        <s v="ORD-10362"/>
        <s v="ORD-10048"/>
        <s v="ORD-10358"/>
        <s v="ORD-10364"/>
        <s v="ORD-10095"/>
        <s v="ORD-10304"/>
        <s v="ORD-10179"/>
        <s v="ORD-10220"/>
        <s v="ORD-10067"/>
        <s v="ORD-10345"/>
        <s v="ORD-10202"/>
        <s v="ORD-10153"/>
        <s v="ORD-10324"/>
        <s v="ORD-10061"/>
        <s v="ORD-10264"/>
        <s v="ORD-10452"/>
        <s v="ORD-10499"/>
        <s v="ORD-10024"/>
        <s v="ORD-10438"/>
        <s v="ORD-10421"/>
        <s v="ORD-10470"/>
        <s v="ORD-10491"/>
        <s v="ORD-10348"/>
        <s v="ORD-10382"/>
        <s v="ORD-10409"/>
        <s v="ORD-10286"/>
        <s v="ORD-10319"/>
        <s v="ORD-10181"/>
        <s v="ORD-10081"/>
        <s v="ORD-10383"/>
        <s v="ORD-10340"/>
        <s v="ORD-10448"/>
        <s v="ORD-10293"/>
        <s v="ORD-10274"/>
        <s v="ORD-10451"/>
        <s v="ORD-10195"/>
        <s v="ORD-10200"/>
        <s v="ORD-10337"/>
        <s v="ORD-10466"/>
        <s v="ORD-10417"/>
        <s v="ORD-10208"/>
        <s v="ORD-10064"/>
        <s v="ORD-10355"/>
        <s v="ORD-10404"/>
        <s v="ORD-10046"/>
        <s v="ORD-10325"/>
        <s v="ORD-10441"/>
        <s v="ORD-10012"/>
        <s v="ORD-10141"/>
        <s v="ORD-10347"/>
        <s v="ORD-10265"/>
        <s v="ORD-10356"/>
        <s v="ORD-10145"/>
        <s v="ORD-10161"/>
        <s v="ORD-10401"/>
      </sharedItems>
    </cacheField>
    <cacheField name="Order Date" numFmtId="165">
      <sharedItems containsSemiMixedTypes="0" containsNonDate="0" containsDate="1" containsString="0" minDate="2025-01-02T00:00:00" maxDate="2026-01-01T00:00:00" count="264">
        <d v="2025-01-02T00:00:00"/>
        <d v="2025-01-03T00:00:00"/>
        <d v="2025-01-04T00:00:00"/>
        <d v="2025-01-06T00:00:00"/>
        <d v="2025-01-07T00:00:00"/>
        <d v="2025-01-08T00:00:00"/>
        <d v="2025-01-09T00:00:00"/>
        <d v="2025-01-10T00:00:00"/>
        <d v="2025-01-12T00:00:00"/>
        <d v="2025-01-13T00:00:00"/>
        <d v="2025-01-14T00:00:00"/>
        <d v="2025-01-16T00:00:00"/>
        <d v="2025-01-17T00:00:00"/>
        <d v="2025-01-22T00:00:00"/>
        <d v="2025-01-24T00:00:00"/>
        <d v="2025-01-25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7T00:00:00"/>
        <d v="2025-02-08T00:00:00"/>
        <d v="2025-02-09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21T00:00:00"/>
        <d v="2025-02-22T00:00:00"/>
        <d v="2025-02-24T00:00:00"/>
        <d v="2025-02-25T00:00:00"/>
        <d v="2025-02-26T00:00:00"/>
        <d v="2025-02-28T00:00:00"/>
        <d v="2025-03-02T00:00:00"/>
        <d v="2025-03-04T00:00:00"/>
        <d v="2025-03-05T00:00:00"/>
        <d v="2025-03-06T00:00:00"/>
        <d v="2025-03-07T00:00:00"/>
        <d v="2025-03-08T00:00:00"/>
        <d v="2025-03-10T00:00:00"/>
        <d v="2025-03-11T00:00:00"/>
        <d v="2025-03-13T00:00:00"/>
        <d v="2025-03-14T00:00:00"/>
        <d v="2025-03-15T00:00:00"/>
        <d v="2025-03-20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1T00:00:00"/>
        <d v="2025-04-02T00:00:00"/>
        <d v="2025-04-04T00:00:00"/>
        <d v="2025-04-06T00:00:00"/>
        <d v="2025-04-07T00:00:00"/>
        <d v="2025-04-08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5-01T00:00:00"/>
        <d v="2025-05-02T00:00:00"/>
        <d v="2025-05-03T00:00:00"/>
        <d v="2025-05-04T00:00:00"/>
        <d v="2025-05-06T00:00:00"/>
        <d v="2025-05-07T00:00:00"/>
        <d v="2025-05-10T00:00:00"/>
        <d v="2025-05-13T00:00:00"/>
        <d v="2025-05-14T00:00:00"/>
        <d v="2025-05-15T00:00:00"/>
        <d v="2025-05-16T00:00:00"/>
        <d v="2025-05-17T00:00:00"/>
        <d v="2025-05-19T00:00:00"/>
        <d v="2025-05-20T00:00:00"/>
        <d v="2025-05-22T00:00:00"/>
        <d v="2025-05-26T00:00:00"/>
        <d v="2025-05-27T00:00:00"/>
        <d v="2025-05-29T00:00:00"/>
        <d v="2025-05-30T00:00:00"/>
        <d v="2025-05-31T00:00:00"/>
        <d v="2025-06-01T00:00:00"/>
        <d v="2025-06-02T00:00:00"/>
        <d v="2025-06-05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4T00:00:00"/>
        <d v="2025-07-05T00:00:00"/>
        <d v="2025-07-07T00:00:00"/>
        <d v="2025-07-09T00:00:00"/>
        <d v="2025-07-10T00:00:00"/>
        <d v="2025-07-12T00:00:00"/>
        <d v="2025-07-13T00:00:00"/>
        <d v="2025-07-14T00:00:00"/>
        <d v="2025-07-17T00:00:00"/>
        <d v="2025-07-18T00:00:00"/>
        <d v="2025-07-19T00:00:00"/>
        <d v="2025-07-22T00:00:00"/>
        <d v="2025-07-23T00:00:00"/>
        <d v="2025-07-24T00:00:00"/>
        <d v="2025-07-26T00:00:00"/>
        <d v="2025-07-27T00:00:00"/>
        <d v="2025-07-28T00:00:00"/>
        <d v="2025-07-29T00:00:00"/>
        <d v="2025-07-31T00:00:00"/>
        <d v="2025-08-01T00:00:00"/>
        <d v="2025-08-02T00:00:00"/>
        <d v="2025-08-03T00:00:00"/>
        <d v="2025-08-04T00:00:00"/>
        <d v="2025-08-06T00:00:00"/>
        <d v="2025-08-07T00:00:00"/>
        <d v="2025-08-09T00:00:00"/>
        <d v="2025-08-10T00:00:00"/>
        <d v="2025-08-12T00:00:00"/>
        <d v="2025-08-13T00:00:00"/>
        <d v="2025-08-15T00:00:00"/>
        <d v="2025-08-17T00:00:00"/>
        <d v="2025-08-18T00:00:00"/>
        <d v="2025-08-19T00:00:00"/>
        <d v="2025-08-20T00:00:00"/>
        <d v="2025-08-21T00:00:00"/>
        <d v="2025-08-24T00:00:00"/>
        <d v="2025-08-26T00:00:00"/>
        <d v="2025-08-27T00:00:00"/>
        <d v="2025-08-29T00:00:00"/>
        <d v="2025-08-30T00:00:00"/>
        <d v="2025-08-31T00:00:00"/>
        <d v="2025-09-01T00:00:00"/>
        <d v="2025-09-02T00:00:00"/>
        <d v="2025-09-03T00:00:00"/>
        <d v="2025-09-05T00:00:00"/>
        <d v="2025-09-07T00:00:00"/>
        <d v="2025-09-08T00:00:00"/>
        <d v="2025-09-11T00:00:00"/>
        <d v="2025-09-12T00:00:00"/>
        <d v="2025-09-13T00:00:00"/>
        <d v="2025-09-14T00:00:00"/>
        <d v="2025-09-15T00:00:00"/>
        <d v="2025-09-19T00:00:00"/>
        <d v="2025-09-20T00:00:00"/>
        <d v="2025-09-21T00:00:00"/>
        <d v="2025-09-22T00:00:00"/>
        <d v="2025-09-23T00:00:00"/>
        <d v="2025-09-24T00:00:00"/>
        <d v="2025-09-26T00:00:00"/>
        <d v="2025-09-27T00:00:00"/>
        <d v="2025-09-29T00:00:00"/>
        <d v="2025-09-30T00:00:00"/>
        <d v="2025-10-01T00:00:00"/>
        <d v="2025-10-02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7T00:00:00"/>
        <d v="2025-10-18T00:00:00"/>
        <d v="2025-10-21T00:00:00"/>
        <d v="2025-10-22T00:00:00"/>
        <d v="2025-10-23T00:00:00"/>
        <d v="2025-10-25T00:00:00"/>
        <d v="2025-10-27T00:00:00"/>
        <d v="2025-10-28T00:00:00"/>
        <d v="2025-10-29T00:00:00"/>
        <d v="2025-10-30T00:00:00"/>
        <d v="2025-10-31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2T00:00:00"/>
        <d v="2025-11-13T00:00:00"/>
        <d v="2025-11-16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2-01T00:00:00"/>
        <d v="2025-12-03T00:00:00"/>
        <d v="2025-12-04T00:00:00"/>
        <d v="2025-12-05T00:00:00"/>
        <d v="2025-12-07T00:00:00"/>
        <d v="2025-12-08T00:00:00"/>
        <d v="2025-12-09T00:00:00"/>
        <d v="2025-12-10T00:00:00"/>
        <d v="2025-12-12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5T00:00:00"/>
        <d v="2025-12-28T00:00:00"/>
        <d v="2025-12-29T00:00:00"/>
        <d v="2025-12-30T00:00:00"/>
        <d v="2025-12-31T00:00:00"/>
      </sharedItems>
      <fieldGroup par="14"/>
    </cacheField>
    <cacheField name="Region" numFmtId="0">
      <sharedItems count="5">
        <s v="Central"/>
        <s v="Nairobi"/>
        <s v="Coast"/>
        <s v="Rift Valley"/>
        <s v="Western"/>
      </sharedItems>
    </cacheField>
    <cacheField name="Sales Rep" numFmtId="0">
      <sharedItems/>
    </cacheField>
    <cacheField name="Product" numFmtId="0">
      <sharedItems/>
    </cacheField>
    <cacheField name="Category" numFmtId="0">
      <sharedItems count="4">
        <s v="Furniture"/>
        <s v="Office Supplies"/>
        <s v="Electronics"/>
        <s v="Accessories"/>
      </sharedItems>
    </cacheField>
    <cacheField name="Quantity" numFmtId="0">
      <sharedItems containsSemiMixedTypes="0" containsString="0" containsNumber="1" containsInteger="1" minValue="1" maxValue="8"/>
    </cacheField>
    <cacheField name="Unit Price (KES)" numFmtId="0">
      <sharedItems containsSemiMixedTypes="0" containsString="0" containsNumber="1" minValue="405" maxValue="71500"/>
    </cacheField>
    <cacheField name="Unit Cost (KES)" numFmtId="0">
      <sharedItems containsSemiMixedTypes="0" containsString="0" containsNumber="1" containsInteger="1" minValue="230" maxValue="52000"/>
    </cacheField>
    <cacheField name="Revenue" numFmtId="0">
      <sharedItems containsSemiMixedTypes="0" containsString="0" containsNumber="1" minValue="450" maxValue="572000"/>
    </cacheField>
    <cacheField name="Total Cost" numFmtId="0">
      <sharedItems containsSemiMixedTypes="0" containsString="0" containsNumber="1" containsInteger="1" minValue="230" maxValue="416000"/>
    </cacheField>
    <cacheField name="Profit" numFmtId="0">
      <sharedItems containsSemiMixedTypes="0" containsString="0" containsNumber="1" minValue="220" maxValue="156000"/>
    </cacheField>
    <cacheField name="Profit margin" numFmtId="9">
      <sharedItems containsSemiMixedTypes="0" containsString="0" containsNumber="1" minValue="0.1111111111111111" maxValue="0.59595959595959591" count="39">
        <n v="0.29545454545454547"/>
        <n v="0.48888888888888887"/>
        <n v="0.25"/>
        <n v="0.37777777777777777"/>
        <n v="0.2857142857142857"/>
        <n v="0.54166666666666663"/>
        <n v="0.56349206349206349"/>
        <n v="0.48"/>
        <n v="0.32"/>
        <n v="0.50476190476190474"/>
        <n v="0.29924242424242425"/>
        <n v="0.32900432900432902"/>
        <n v="0.42222222222222222"/>
        <n v="0.22916666666666666"/>
        <n v="0.55555555555555558"/>
        <n v="0.53535353535353536"/>
        <n v="0.14351851851851852"/>
        <n v="0.26587301587301587"/>
        <n v="0.2"/>
        <n v="0.40740740740740738"/>
        <n v="0.23809523809523808"/>
        <n v="0.57671957671957674"/>
        <n v="0.50617283950617287"/>
        <n v="0.58333333333333337"/>
        <n v="0.24444444444444444"/>
        <n v="0.43209876543209874"/>
        <n v="0.27272727272727271"/>
        <n v="0.31818181818181818"/>
        <n v="0.49074074074074076"/>
        <n v="0.52727272727272723"/>
        <n v="0.43434343434343436"/>
        <n v="0.21717171717171718"/>
        <n v="0.30864197530864196"/>
        <n v="0.1111111111111111"/>
        <n v="0.35238095238095241"/>
        <n v="0.51322751322751325"/>
        <n v="0.38181818181818183"/>
        <n v="0.16666666666666666"/>
        <n v="0.59595959595959591"/>
      </sharedItems>
    </cacheField>
    <cacheField name="Days (Order Date)" numFmtId="0" databaseField="0">
      <fieldGroup base="1">
        <rangePr groupBy="days" startDate="2025-01-02T00:00:00" endDate="2026-01-01T00:00:00"/>
        <groupItems count="368">
          <s v="&lt;1/2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1/2026"/>
        </groupItems>
      </fieldGroup>
    </cacheField>
    <cacheField name="Months (Order Date)" numFmtId="0" databaseField="0">
      <fieldGroup base="1">
        <rangePr groupBy="months" startDate="2025-01-02T00:00:00" endDate="2026-01-01T00:00:00"/>
        <groupItems count="14">
          <s v="&lt;1/2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x v="0"/>
    <s v="Mercy"/>
    <s v="Desk"/>
    <x v="0"/>
    <n v="1"/>
    <n v="22000"/>
    <n v="15500"/>
    <n v="22000"/>
    <n v="15500"/>
    <n v="6500"/>
    <x v="0"/>
  </r>
  <r>
    <x v="1"/>
    <x v="1"/>
    <x v="1"/>
    <s v="Peter"/>
    <s v="Notebook Pack"/>
    <x v="1"/>
    <n v="6"/>
    <n v="450"/>
    <n v="230"/>
    <n v="2700"/>
    <n v="1380"/>
    <n v="1320"/>
    <x v="1"/>
  </r>
  <r>
    <x v="2"/>
    <x v="1"/>
    <x v="2"/>
    <s v="Amina"/>
    <s v="Monitor"/>
    <x v="2"/>
    <n v="6"/>
    <n v="18000"/>
    <n v="13500"/>
    <n v="108000"/>
    <n v="81000"/>
    <n v="27000"/>
    <x v="2"/>
  </r>
  <r>
    <x v="3"/>
    <x v="2"/>
    <x v="3"/>
    <s v="Faith"/>
    <s v="Headphones"/>
    <x v="2"/>
    <n v="7"/>
    <n v="4500"/>
    <n v="2800"/>
    <n v="31500"/>
    <n v="19600"/>
    <n v="11900"/>
    <x v="3"/>
  </r>
  <r>
    <x v="4"/>
    <x v="3"/>
    <x v="3"/>
    <s v="Brian"/>
    <s v="Monitor"/>
    <x v="2"/>
    <n v="4"/>
    <n v="18900"/>
    <n v="13500"/>
    <n v="75600"/>
    <n v="54000"/>
    <n v="21600"/>
    <x v="4"/>
  </r>
  <r>
    <x v="5"/>
    <x v="4"/>
    <x v="1"/>
    <s v="Amina"/>
    <s v="Mouse"/>
    <x v="3"/>
    <n v="7"/>
    <n v="1200"/>
    <n v="550"/>
    <n v="8400"/>
    <n v="3850"/>
    <n v="4550"/>
    <x v="5"/>
  </r>
  <r>
    <x v="6"/>
    <x v="4"/>
    <x v="0"/>
    <s v="Amina"/>
    <s v="Mouse"/>
    <x v="3"/>
    <n v="4"/>
    <n v="1260"/>
    <n v="550"/>
    <n v="5040"/>
    <n v="2200"/>
    <n v="2840"/>
    <x v="6"/>
  </r>
  <r>
    <x v="7"/>
    <x v="5"/>
    <x v="1"/>
    <s v="Brian"/>
    <s v="Keyboard"/>
    <x v="3"/>
    <n v="6"/>
    <n v="2500"/>
    <n v="1300"/>
    <n v="15000"/>
    <n v="7800"/>
    <n v="7200"/>
    <x v="7"/>
  </r>
  <r>
    <x v="8"/>
    <x v="5"/>
    <x v="1"/>
    <s v="Kevin"/>
    <s v="Headphones"/>
    <x v="2"/>
    <n v="3"/>
    <n v="4500"/>
    <n v="2800"/>
    <n v="13500"/>
    <n v="8400"/>
    <n v="5100"/>
    <x v="3"/>
  </r>
  <r>
    <x v="9"/>
    <x v="6"/>
    <x v="4"/>
    <s v="Peter"/>
    <s v="Monitor"/>
    <x v="2"/>
    <n v="1"/>
    <n v="18000"/>
    <n v="13500"/>
    <n v="18000"/>
    <n v="13500"/>
    <n v="4500"/>
    <x v="2"/>
  </r>
  <r>
    <x v="10"/>
    <x v="6"/>
    <x v="1"/>
    <s v="Kevin"/>
    <s v="Notebook Pack"/>
    <x v="1"/>
    <n v="3"/>
    <n v="450"/>
    <n v="230"/>
    <n v="1350"/>
    <n v="690"/>
    <n v="660"/>
    <x v="1"/>
  </r>
  <r>
    <x v="11"/>
    <x v="6"/>
    <x v="2"/>
    <s v="Peter"/>
    <s v="Headphones"/>
    <x v="2"/>
    <n v="7"/>
    <n v="4500"/>
    <n v="2800"/>
    <n v="31500"/>
    <n v="19600"/>
    <n v="11900"/>
    <x v="3"/>
  </r>
  <r>
    <x v="12"/>
    <x v="7"/>
    <x v="0"/>
    <s v="Amina"/>
    <s v="Office Chair"/>
    <x v="0"/>
    <n v="1"/>
    <n v="12500"/>
    <n v="8500"/>
    <n v="12500"/>
    <n v="8500"/>
    <n v="4000"/>
    <x v="8"/>
  </r>
  <r>
    <x v="13"/>
    <x v="7"/>
    <x v="1"/>
    <s v="Amina"/>
    <s v="Desk"/>
    <x v="0"/>
    <n v="5"/>
    <n v="22000"/>
    <n v="15500"/>
    <n v="110000"/>
    <n v="77500"/>
    <n v="32500"/>
    <x v="0"/>
  </r>
  <r>
    <x v="14"/>
    <x v="8"/>
    <x v="1"/>
    <s v="Mercy"/>
    <s v="Notebook Pack"/>
    <x v="1"/>
    <n v="7"/>
    <n v="450"/>
    <n v="230"/>
    <n v="3150"/>
    <n v="1610"/>
    <n v="1540"/>
    <x v="1"/>
  </r>
  <r>
    <x v="15"/>
    <x v="8"/>
    <x v="1"/>
    <s v="Mercy"/>
    <s v="Keyboard"/>
    <x v="3"/>
    <n v="8"/>
    <n v="2625"/>
    <n v="1300"/>
    <n v="21000"/>
    <n v="10400"/>
    <n v="10600"/>
    <x v="9"/>
  </r>
  <r>
    <x v="16"/>
    <x v="9"/>
    <x v="0"/>
    <s v="Kevin"/>
    <s v="Notebook Pack"/>
    <x v="1"/>
    <n v="7"/>
    <n v="450"/>
    <n v="230"/>
    <n v="3150"/>
    <n v="1610"/>
    <n v="1540"/>
    <x v="1"/>
  </r>
  <r>
    <x v="17"/>
    <x v="10"/>
    <x v="1"/>
    <s v="Brian"/>
    <s v="Notebook Pack"/>
    <x v="1"/>
    <n v="4"/>
    <n v="450"/>
    <n v="230"/>
    <n v="1800"/>
    <n v="920"/>
    <n v="880"/>
    <x v="1"/>
  </r>
  <r>
    <x v="18"/>
    <x v="10"/>
    <x v="2"/>
    <s v="Peter"/>
    <s v="Printer"/>
    <x v="1"/>
    <n v="1"/>
    <n v="26400"/>
    <n v="18500"/>
    <n v="26400"/>
    <n v="18500"/>
    <n v="7900"/>
    <x v="10"/>
  </r>
  <r>
    <x v="19"/>
    <x v="11"/>
    <x v="0"/>
    <s v="Brian"/>
    <s v="Desk"/>
    <x v="0"/>
    <n v="4"/>
    <n v="23100"/>
    <n v="15500"/>
    <n v="92400"/>
    <n v="62000"/>
    <n v="30400"/>
    <x v="11"/>
  </r>
  <r>
    <x v="20"/>
    <x v="11"/>
    <x v="1"/>
    <s v="Faith"/>
    <s v="Mouse"/>
    <x v="3"/>
    <n v="8"/>
    <n v="1200"/>
    <n v="550"/>
    <n v="9600"/>
    <n v="4400"/>
    <n v="5200"/>
    <x v="5"/>
  </r>
  <r>
    <x v="21"/>
    <x v="12"/>
    <x v="4"/>
    <s v="Faith"/>
    <s v="Headphones"/>
    <x v="2"/>
    <n v="5"/>
    <n v="4500"/>
    <n v="2800"/>
    <n v="22500"/>
    <n v="14000"/>
    <n v="8500"/>
    <x v="3"/>
  </r>
  <r>
    <x v="22"/>
    <x v="12"/>
    <x v="3"/>
    <s v="Amina"/>
    <s v="Keyboard"/>
    <x v="3"/>
    <n v="2"/>
    <n v="2250"/>
    <n v="1300"/>
    <n v="4500"/>
    <n v="2600"/>
    <n v="1900"/>
    <x v="12"/>
  </r>
  <r>
    <x v="23"/>
    <x v="13"/>
    <x v="0"/>
    <s v="Mercy"/>
    <s v="Mouse"/>
    <x v="3"/>
    <n v="2"/>
    <n v="1200"/>
    <n v="550"/>
    <n v="2400"/>
    <n v="1100"/>
    <n v="1300"/>
    <x v="5"/>
  </r>
  <r>
    <x v="24"/>
    <x v="14"/>
    <x v="2"/>
    <s v="Amina"/>
    <s v="Printer"/>
    <x v="1"/>
    <n v="1"/>
    <n v="24000"/>
    <n v="18500"/>
    <n v="24000"/>
    <n v="18500"/>
    <n v="5500"/>
    <x v="13"/>
  </r>
  <r>
    <x v="25"/>
    <x v="14"/>
    <x v="3"/>
    <s v="Amina"/>
    <s v="Desk"/>
    <x v="0"/>
    <n v="2"/>
    <n v="22000"/>
    <n v="15500"/>
    <n v="44000"/>
    <n v="31000"/>
    <n v="13000"/>
    <x v="0"/>
  </r>
  <r>
    <x v="26"/>
    <x v="15"/>
    <x v="1"/>
    <s v="Brian"/>
    <s v="USB Drive"/>
    <x v="3"/>
    <n v="1"/>
    <n v="900"/>
    <n v="400"/>
    <n v="900"/>
    <n v="400"/>
    <n v="500"/>
    <x v="14"/>
  </r>
  <r>
    <x v="27"/>
    <x v="15"/>
    <x v="4"/>
    <s v="Peter"/>
    <s v="Keyboard"/>
    <x v="3"/>
    <n v="3"/>
    <n v="2250"/>
    <n v="1300"/>
    <n v="6750"/>
    <n v="3900"/>
    <n v="2850"/>
    <x v="12"/>
  </r>
  <r>
    <x v="28"/>
    <x v="16"/>
    <x v="3"/>
    <s v="Kevin"/>
    <s v="Monitor"/>
    <x v="2"/>
    <n v="2"/>
    <n v="18000"/>
    <n v="13500"/>
    <n v="36000"/>
    <n v="27000"/>
    <n v="9000"/>
    <x v="2"/>
  </r>
  <r>
    <x v="29"/>
    <x v="17"/>
    <x v="4"/>
    <s v="Amina"/>
    <s v="Headphones"/>
    <x v="2"/>
    <n v="6"/>
    <n v="4500"/>
    <n v="2800"/>
    <n v="27000"/>
    <n v="16800"/>
    <n v="10200"/>
    <x v="3"/>
  </r>
  <r>
    <x v="30"/>
    <x v="17"/>
    <x v="0"/>
    <s v="Brian"/>
    <s v="Printer"/>
    <x v="1"/>
    <n v="3"/>
    <n v="24000"/>
    <n v="18500"/>
    <n v="72000"/>
    <n v="55500"/>
    <n v="16500"/>
    <x v="13"/>
  </r>
  <r>
    <x v="31"/>
    <x v="18"/>
    <x v="0"/>
    <s v="Kevin"/>
    <s v="Headphones"/>
    <x v="2"/>
    <n v="3"/>
    <n v="4500"/>
    <n v="2800"/>
    <n v="13500"/>
    <n v="8400"/>
    <n v="5100"/>
    <x v="3"/>
  </r>
  <r>
    <x v="32"/>
    <x v="19"/>
    <x v="3"/>
    <s v="Amina"/>
    <s v="Keyboard"/>
    <x v="3"/>
    <n v="4"/>
    <n v="2500"/>
    <n v="1300"/>
    <n v="10000"/>
    <n v="5200"/>
    <n v="4800"/>
    <x v="7"/>
  </r>
  <r>
    <x v="33"/>
    <x v="19"/>
    <x v="3"/>
    <s v="Peter"/>
    <s v="Keyboard"/>
    <x v="3"/>
    <n v="8"/>
    <n v="2500"/>
    <n v="1300"/>
    <n v="20000"/>
    <n v="10400"/>
    <n v="9600"/>
    <x v="7"/>
  </r>
  <r>
    <x v="34"/>
    <x v="19"/>
    <x v="2"/>
    <s v="Kevin"/>
    <s v="Keyboard"/>
    <x v="3"/>
    <n v="4"/>
    <n v="2500"/>
    <n v="1300"/>
    <n v="10000"/>
    <n v="5200"/>
    <n v="4800"/>
    <x v="7"/>
  </r>
  <r>
    <x v="35"/>
    <x v="20"/>
    <x v="3"/>
    <s v="Faith"/>
    <s v="Printer"/>
    <x v="1"/>
    <n v="7"/>
    <n v="24000"/>
    <n v="18500"/>
    <n v="168000"/>
    <n v="129500"/>
    <n v="38500"/>
    <x v="13"/>
  </r>
  <r>
    <x v="36"/>
    <x v="20"/>
    <x v="0"/>
    <s v="Mercy"/>
    <s v="Office Chair"/>
    <x v="0"/>
    <n v="2"/>
    <n v="12500"/>
    <n v="8500"/>
    <n v="25000"/>
    <n v="17000"/>
    <n v="8000"/>
    <x v="8"/>
  </r>
  <r>
    <x v="37"/>
    <x v="21"/>
    <x v="1"/>
    <s v="Brian"/>
    <s v="Notebook Pack"/>
    <x v="1"/>
    <n v="1"/>
    <n v="495"/>
    <n v="230"/>
    <n v="495"/>
    <n v="230"/>
    <n v="265"/>
    <x v="15"/>
  </r>
  <r>
    <x v="38"/>
    <x v="21"/>
    <x v="1"/>
    <s v="Peter"/>
    <s v="Printer"/>
    <x v="1"/>
    <n v="8"/>
    <n v="24000"/>
    <n v="18500"/>
    <n v="192000"/>
    <n v="148000"/>
    <n v="44000"/>
    <x v="13"/>
  </r>
  <r>
    <x v="39"/>
    <x v="22"/>
    <x v="0"/>
    <s v="Peter"/>
    <s v="Notebook Pack"/>
    <x v="1"/>
    <n v="8"/>
    <n v="450"/>
    <n v="230"/>
    <n v="3600"/>
    <n v="1840"/>
    <n v="1760"/>
    <x v="1"/>
  </r>
  <r>
    <x v="40"/>
    <x v="22"/>
    <x v="1"/>
    <s v="Brian"/>
    <s v="Notebook Pack"/>
    <x v="1"/>
    <n v="5"/>
    <n v="450"/>
    <n v="230"/>
    <n v="2250"/>
    <n v="1150"/>
    <n v="1100"/>
    <x v="1"/>
  </r>
  <r>
    <x v="41"/>
    <x v="22"/>
    <x v="0"/>
    <s v="Mercy"/>
    <s v="Mouse"/>
    <x v="3"/>
    <n v="2"/>
    <n v="1200"/>
    <n v="550"/>
    <n v="2400"/>
    <n v="1100"/>
    <n v="1300"/>
    <x v="5"/>
  </r>
  <r>
    <x v="42"/>
    <x v="23"/>
    <x v="1"/>
    <s v="Amina"/>
    <s v="Printer"/>
    <x v="1"/>
    <n v="7"/>
    <n v="21600"/>
    <n v="18500"/>
    <n v="151200"/>
    <n v="129500"/>
    <n v="21700"/>
    <x v="16"/>
  </r>
  <r>
    <x v="43"/>
    <x v="23"/>
    <x v="4"/>
    <s v="Brian"/>
    <s v="Printer"/>
    <x v="1"/>
    <n v="3"/>
    <n v="25200"/>
    <n v="18500"/>
    <n v="75600"/>
    <n v="55500"/>
    <n v="20100"/>
    <x v="17"/>
  </r>
  <r>
    <x v="44"/>
    <x v="23"/>
    <x v="1"/>
    <s v="Faith"/>
    <s v="Laptop"/>
    <x v="2"/>
    <n v="1"/>
    <n v="65000"/>
    <n v="52000"/>
    <n v="65000"/>
    <n v="52000"/>
    <n v="13000"/>
    <x v="18"/>
  </r>
  <r>
    <x v="45"/>
    <x v="24"/>
    <x v="2"/>
    <s v="Brian"/>
    <s v="Laptop"/>
    <x v="2"/>
    <n v="4"/>
    <n v="65000"/>
    <n v="52000"/>
    <n v="260000"/>
    <n v="208000"/>
    <n v="52000"/>
    <x v="18"/>
  </r>
  <r>
    <x v="46"/>
    <x v="24"/>
    <x v="1"/>
    <s v="Peter"/>
    <s v="Keyboard"/>
    <x v="3"/>
    <n v="4"/>
    <n v="2500"/>
    <n v="1300"/>
    <n v="10000"/>
    <n v="5200"/>
    <n v="4800"/>
    <x v="7"/>
  </r>
  <r>
    <x v="47"/>
    <x v="25"/>
    <x v="3"/>
    <s v="Kevin"/>
    <s v="USB Drive"/>
    <x v="3"/>
    <n v="1"/>
    <n v="900"/>
    <n v="400"/>
    <n v="900"/>
    <n v="400"/>
    <n v="500"/>
    <x v="14"/>
  </r>
  <r>
    <x v="48"/>
    <x v="26"/>
    <x v="3"/>
    <s v="Faith"/>
    <s v="Mouse"/>
    <x v="3"/>
    <n v="4"/>
    <n v="1200"/>
    <n v="550"/>
    <n v="4800"/>
    <n v="2200"/>
    <n v="2600"/>
    <x v="5"/>
  </r>
  <r>
    <x v="49"/>
    <x v="26"/>
    <x v="4"/>
    <s v="Faith"/>
    <s v="Keyboard"/>
    <x v="3"/>
    <n v="7"/>
    <n v="2500"/>
    <n v="1300"/>
    <n v="17500"/>
    <n v="9100"/>
    <n v="8400"/>
    <x v="7"/>
  </r>
  <r>
    <x v="50"/>
    <x v="27"/>
    <x v="3"/>
    <s v="Faith"/>
    <s v="Headphones"/>
    <x v="2"/>
    <n v="1"/>
    <n v="4725"/>
    <n v="2800"/>
    <n v="4725"/>
    <n v="2800"/>
    <n v="1925"/>
    <x v="19"/>
  </r>
  <r>
    <x v="51"/>
    <x v="27"/>
    <x v="4"/>
    <s v="Faith"/>
    <s v="Laptop"/>
    <x v="2"/>
    <n v="4"/>
    <n v="68250"/>
    <n v="52000"/>
    <n v="273000"/>
    <n v="208000"/>
    <n v="65000"/>
    <x v="20"/>
  </r>
  <r>
    <x v="52"/>
    <x v="27"/>
    <x v="3"/>
    <s v="Faith"/>
    <s v="USB Drive"/>
    <x v="3"/>
    <n v="8"/>
    <n v="900"/>
    <n v="400"/>
    <n v="7200"/>
    <n v="3200"/>
    <n v="4000"/>
    <x v="14"/>
  </r>
  <r>
    <x v="53"/>
    <x v="28"/>
    <x v="3"/>
    <s v="Amina"/>
    <s v="Keyboard"/>
    <x v="3"/>
    <n v="5"/>
    <n v="2500"/>
    <n v="1300"/>
    <n v="12500"/>
    <n v="6500"/>
    <n v="6000"/>
    <x v="7"/>
  </r>
  <r>
    <x v="54"/>
    <x v="29"/>
    <x v="1"/>
    <s v="Faith"/>
    <s v="Laptop"/>
    <x v="2"/>
    <n v="5"/>
    <n v="68250"/>
    <n v="52000"/>
    <n v="341250"/>
    <n v="260000"/>
    <n v="81250"/>
    <x v="20"/>
  </r>
  <r>
    <x v="55"/>
    <x v="30"/>
    <x v="0"/>
    <s v="Kevin"/>
    <s v="Mouse"/>
    <x v="3"/>
    <n v="4"/>
    <n v="1200"/>
    <n v="550"/>
    <n v="4800"/>
    <n v="2200"/>
    <n v="2600"/>
    <x v="5"/>
  </r>
  <r>
    <x v="56"/>
    <x v="30"/>
    <x v="2"/>
    <s v="Amina"/>
    <s v="Mouse"/>
    <x v="3"/>
    <n v="3"/>
    <n v="1200"/>
    <n v="550"/>
    <n v="3600"/>
    <n v="1650"/>
    <n v="1950"/>
    <x v="5"/>
  </r>
  <r>
    <x v="57"/>
    <x v="30"/>
    <x v="1"/>
    <s v="Peter"/>
    <s v="Notebook Pack"/>
    <x v="1"/>
    <n v="4"/>
    <n v="450"/>
    <n v="230"/>
    <n v="1800"/>
    <n v="920"/>
    <n v="880"/>
    <x v="1"/>
  </r>
  <r>
    <x v="58"/>
    <x v="31"/>
    <x v="2"/>
    <s v="Brian"/>
    <s v="Notebook Pack"/>
    <x v="1"/>
    <n v="2"/>
    <n v="450"/>
    <n v="230"/>
    <n v="900"/>
    <n v="460"/>
    <n v="440"/>
    <x v="1"/>
  </r>
  <r>
    <x v="59"/>
    <x v="31"/>
    <x v="1"/>
    <s v="Peter"/>
    <s v="Desk"/>
    <x v="0"/>
    <n v="8"/>
    <n v="22000"/>
    <n v="15500"/>
    <n v="176000"/>
    <n v="124000"/>
    <n v="52000"/>
    <x v="0"/>
  </r>
  <r>
    <x v="60"/>
    <x v="32"/>
    <x v="1"/>
    <s v="Mercy"/>
    <s v="Laptop"/>
    <x v="2"/>
    <n v="6"/>
    <n v="65000"/>
    <n v="52000"/>
    <n v="390000"/>
    <n v="312000"/>
    <n v="78000"/>
    <x v="18"/>
  </r>
  <r>
    <x v="61"/>
    <x v="33"/>
    <x v="3"/>
    <s v="Peter"/>
    <s v="Keyboard"/>
    <x v="3"/>
    <n v="7"/>
    <n v="2625"/>
    <n v="1300"/>
    <n v="18375"/>
    <n v="9100"/>
    <n v="9275"/>
    <x v="9"/>
  </r>
  <r>
    <x v="62"/>
    <x v="33"/>
    <x v="4"/>
    <s v="Kevin"/>
    <s v="Headphones"/>
    <x v="2"/>
    <n v="1"/>
    <n v="4500"/>
    <n v="2800"/>
    <n v="4500"/>
    <n v="2800"/>
    <n v="1700"/>
    <x v="3"/>
  </r>
  <r>
    <x v="63"/>
    <x v="33"/>
    <x v="1"/>
    <s v="Peter"/>
    <s v="Notebook Pack"/>
    <x v="1"/>
    <n v="8"/>
    <n v="450"/>
    <n v="230"/>
    <n v="3600"/>
    <n v="1840"/>
    <n v="1760"/>
    <x v="1"/>
  </r>
  <r>
    <x v="64"/>
    <x v="34"/>
    <x v="0"/>
    <s v="Brian"/>
    <s v="USB Drive"/>
    <x v="3"/>
    <n v="7"/>
    <n v="900"/>
    <n v="400"/>
    <n v="6300"/>
    <n v="2800"/>
    <n v="3500"/>
    <x v="14"/>
  </r>
  <r>
    <x v="65"/>
    <x v="34"/>
    <x v="3"/>
    <s v="Peter"/>
    <s v="USB Drive"/>
    <x v="3"/>
    <n v="7"/>
    <n v="900"/>
    <n v="400"/>
    <n v="6300"/>
    <n v="2800"/>
    <n v="3500"/>
    <x v="14"/>
  </r>
  <r>
    <x v="66"/>
    <x v="35"/>
    <x v="3"/>
    <s v="Amina"/>
    <s v="USB Drive"/>
    <x v="3"/>
    <n v="1"/>
    <n v="900"/>
    <n v="400"/>
    <n v="900"/>
    <n v="400"/>
    <n v="500"/>
    <x v="14"/>
  </r>
  <r>
    <x v="67"/>
    <x v="35"/>
    <x v="1"/>
    <s v="Faith"/>
    <s v="Desk"/>
    <x v="0"/>
    <n v="3"/>
    <n v="22000"/>
    <n v="15500"/>
    <n v="66000"/>
    <n v="46500"/>
    <n v="19500"/>
    <x v="0"/>
  </r>
  <r>
    <x v="68"/>
    <x v="36"/>
    <x v="3"/>
    <s v="Peter"/>
    <s v="Printer"/>
    <x v="1"/>
    <n v="3"/>
    <n v="24000"/>
    <n v="18500"/>
    <n v="72000"/>
    <n v="55500"/>
    <n v="16500"/>
    <x v="13"/>
  </r>
  <r>
    <x v="69"/>
    <x v="36"/>
    <x v="3"/>
    <s v="Peter"/>
    <s v="USB Drive"/>
    <x v="3"/>
    <n v="7"/>
    <n v="945"/>
    <n v="400"/>
    <n v="6615"/>
    <n v="2800"/>
    <n v="3815"/>
    <x v="21"/>
  </r>
  <r>
    <x v="70"/>
    <x v="36"/>
    <x v="3"/>
    <s v="Faith"/>
    <s v="USB Drive"/>
    <x v="3"/>
    <n v="4"/>
    <n v="810"/>
    <n v="400"/>
    <n v="3240"/>
    <n v="1600"/>
    <n v="1640"/>
    <x v="22"/>
  </r>
  <r>
    <x v="71"/>
    <x v="36"/>
    <x v="1"/>
    <s v="Kevin"/>
    <s v="Laptop"/>
    <x v="2"/>
    <n v="8"/>
    <n v="65000"/>
    <n v="52000"/>
    <n v="520000"/>
    <n v="416000"/>
    <n v="104000"/>
    <x v="18"/>
  </r>
  <r>
    <x v="72"/>
    <x v="36"/>
    <x v="3"/>
    <s v="Mercy"/>
    <s v="Notebook Pack"/>
    <x v="1"/>
    <n v="1"/>
    <n v="450"/>
    <n v="230"/>
    <n v="450"/>
    <n v="230"/>
    <n v="220"/>
    <x v="1"/>
  </r>
  <r>
    <x v="73"/>
    <x v="36"/>
    <x v="3"/>
    <s v="Brian"/>
    <s v="Headphones"/>
    <x v="2"/>
    <n v="7"/>
    <n v="4500"/>
    <n v="2800"/>
    <n v="31500"/>
    <n v="19600"/>
    <n v="11900"/>
    <x v="3"/>
  </r>
  <r>
    <x v="74"/>
    <x v="37"/>
    <x v="2"/>
    <s v="Faith"/>
    <s v="Headphones"/>
    <x v="2"/>
    <n v="8"/>
    <n v="4500"/>
    <n v="2800"/>
    <n v="36000"/>
    <n v="22400"/>
    <n v="13600"/>
    <x v="3"/>
  </r>
  <r>
    <x v="75"/>
    <x v="37"/>
    <x v="2"/>
    <s v="Kevin"/>
    <s v="Office Chair"/>
    <x v="0"/>
    <n v="1"/>
    <n v="12500"/>
    <n v="8500"/>
    <n v="12500"/>
    <n v="8500"/>
    <n v="4000"/>
    <x v="8"/>
  </r>
  <r>
    <x v="76"/>
    <x v="38"/>
    <x v="1"/>
    <s v="Kevin"/>
    <s v="Mouse"/>
    <x v="3"/>
    <n v="3"/>
    <n v="1320"/>
    <n v="550"/>
    <n v="3960"/>
    <n v="1650"/>
    <n v="2310"/>
    <x v="23"/>
  </r>
  <r>
    <x v="77"/>
    <x v="39"/>
    <x v="4"/>
    <s v="Faith"/>
    <s v="USB Drive"/>
    <x v="3"/>
    <n v="5"/>
    <n v="900"/>
    <n v="400"/>
    <n v="4500"/>
    <n v="2000"/>
    <n v="2500"/>
    <x v="14"/>
  </r>
  <r>
    <x v="78"/>
    <x v="39"/>
    <x v="1"/>
    <s v="Faith"/>
    <s v="Laptop"/>
    <x v="2"/>
    <n v="7"/>
    <n v="65000"/>
    <n v="52000"/>
    <n v="455000"/>
    <n v="364000"/>
    <n v="91000"/>
    <x v="18"/>
  </r>
  <r>
    <x v="79"/>
    <x v="39"/>
    <x v="3"/>
    <s v="Peter"/>
    <s v="Notebook Pack"/>
    <x v="1"/>
    <n v="2"/>
    <n v="450"/>
    <n v="230"/>
    <n v="900"/>
    <n v="460"/>
    <n v="440"/>
    <x v="1"/>
  </r>
  <r>
    <x v="80"/>
    <x v="39"/>
    <x v="3"/>
    <s v="Kevin"/>
    <s v="Keyboard"/>
    <x v="3"/>
    <n v="8"/>
    <n v="2500"/>
    <n v="1300"/>
    <n v="20000"/>
    <n v="10400"/>
    <n v="9600"/>
    <x v="7"/>
  </r>
  <r>
    <x v="81"/>
    <x v="40"/>
    <x v="1"/>
    <s v="Faith"/>
    <s v="Printer"/>
    <x v="1"/>
    <n v="8"/>
    <n v="24000"/>
    <n v="18500"/>
    <n v="192000"/>
    <n v="148000"/>
    <n v="44000"/>
    <x v="13"/>
  </r>
  <r>
    <x v="82"/>
    <x v="41"/>
    <x v="0"/>
    <s v="Amina"/>
    <s v="USB Drive"/>
    <x v="3"/>
    <n v="8"/>
    <n v="900"/>
    <n v="400"/>
    <n v="7200"/>
    <n v="3200"/>
    <n v="4000"/>
    <x v="14"/>
  </r>
  <r>
    <x v="83"/>
    <x v="41"/>
    <x v="3"/>
    <s v="Faith"/>
    <s v="USB Drive"/>
    <x v="3"/>
    <n v="4"/>
    <n v="900"/>
    <n v="400"/>
    <n v="3600"/>
    <n v="1600"/>
    <n v="2000"/>
    <x v="14"/>
  </r>
  <r>
    <x v="84"/>
    <x v="41"/>
    <x v="3"/>
    <s v="Kevin"/>
    <s v="Office Chair"/>
    <x v="0"/>
    <n v="4"/>
    <n v="12500"/>
    <n v="8500"/>
    <n v="50000"/>
    <n v="34000"/>
    <n v="16000"/>
    <x v="8"/>
  </r>
  <r>
    <x v="85"/>
    <x v="42"/>
    <x v="1"/>
    <s v="Faith"/>
    <s v="Headphones"/>
    <x v="2"/>
    <n v="5"/>
    <n v="4500"/>
    <n v="2800"/>
    <n v="22500"/>
    <n v="14000"/>
    <n v="8500"/>
    <x v="3"/>
  </r>
  <r>
    <x v="86"/>
    <x v="42"/>
    <x v="0"/>
    <s v="Kevin"/>
    <s v="Printer"/>
    <x v="1"/>
    <n v="2"/>
    <n v="24000"/>
    <n v="18500"/>
    <n v="48000"/>
    <n v="37000"/>
    <n v="11000"/>
    <x v="13"/>
  </r>
  <r>
    <x v="87"/>
    <x v="42"/>
    <x v="1"/>
    <s v="Peter"/>
    <s v="Laptop"/>
    <x v="2"/>
    <n v="1"/>
    <n v="65000"/>
    <n v="52000"/>
    <n v="65000"/>
    <n v="52000"/>
    <n v="13000"/>
    <x v="18"/>
  </r>
  <r>
    <x v="88"/>
    <x v="42"/>
    <x v="4"/>
    <s v="Mercy"/>
    <s v="Keyboard"/>
    <x v="3"/>
    <n v="2"/>
    <n v="2625"/>
    <n v="1300"/>
    <n v="5250"/>
    <n v="2600"/>
    <n v="2650"/>
    <x v="9"/>
  </r>
  <r>
    <x v="89"/>
    <x v="42"/>
    <x v="4"/>
    <s v="Kevin"/>
    <s v="Keyboard"/>
    <x v="3"/>
    <n v="2"/>
    <n v="2500"/>
    <n v="1300"/>
    <n v="5000"/>
    <n v="2600"/>
    <n v="2400"/>
    <x v="7"/>
  </r>
  <r>
    <x v="90"/>
    <x v="43"/>
    <x v="1"/>
    <s v="Faith"/>
    <s v="Mouse"/>
    <x v="3"/>
    <n v="1"/>
    <n v="1200"/>
    <n v="550"/>
    <n v="1200"/>
    <n v="550"/>
    <n v="650"/>
    <x v="5"/>
  </r>
  <r>
    <x v="91"/>
    <x v="44"/>
    <x v="0"/>
    <s v="Kevin"/>
    <s v="Mouse"/>
    <x v="3"/>
    <n v="7"/>
    <n v="1260"/>
    <n v="550"/>
    <n v="8820"/>
    <n v="3850"/>
    <n v="4970"/>
    <x v="6"/>
  </r>
  <r>
    <x v="92"/>
    <x v="44"/>
    <x v="1"/>
    <s v="Mercy"/>
    <s v="Keyboard"/>
    <x v="3"/>
    <n v="1"/>
    <n v="2500"/>
    <n v="1300"/>
    <n v="2500"/>
    <n v="1300"/>
    <n v="1200"/>
    <x v="7"/>
  </r>
  <r>
    <x v="93"/>
    <x v="45"/>
    <x v="1"/>
    <s v="Kevin"/>
    <s v="USB Drive"/>
    <x v="3"/>
    <n v="5"/>
    <n v="945"/>
    <n v="400"/>
    <n v="4725"/>
    <n v="2000"/>
    <n v="2725"/>
    <x v="21"/>
  </r>
  <r>
    <x v="94"/>
    <x v="46"/>
    <x v="3"/>
    <s v="Brian"/>
    <s v="Mouse"/>
    <x v="3"/>
    <n v="2"/>
    <n v="1200"/>
    <n v="550"/>
    <n v="2400"/>
    <n v="1100"/>
    <n v="1300"/>
    <x v="5"/>
  </r>
  <r>
    <x v="95"/>
    <x v="46"/>
    <x v="3"/>
    <s v="Kevin"/>
    <s v="USB Drive"/>
    <x v="3"/>
    <n v="4"/>
    <n v="900"/>
    <n v="400"/>
    <n v="3600"/>
    <n v="1600"/>
    <n v="2000"/>
    <x v="14"/>
  </r>
  <r>
    <x v="96"/>
    <x v="46"/>
    <x v="2"/>
    <s v="Amina"/>
    <s v="Laptop"/>
    <x v="2"/>
    <n v="7"/>
    <n v="65000"/>
    <n v="52000"/>
    <n v="455000"/>
    <n v="364000"/>
    <n v="91000"/>
    <x v="18"/>
  </r>
  <r>
    <x v="97"/>
    <x v="47"/>
    <x v="0"/>
    <s v="Peter"/>
    <s v="Laptop"/>
    <x v="2"/>
    <n v="5"/>
    <n v="65000"/>
    <n v="52000"/>
    <n v="325000"/>
    <n v="260000"/>
    <n v="65000"/>
    <x v="18"/>
  </r>
  <r>
    <x v="98"/>
    <x v="47"/>
    <x v="3"/>
    <s v="Brian"/>
    <s v="Keyboard"/>
    <x v="3"/>
    <n v="3"/>
    <n v="2500"/>
    <n v="1300"/>
    <n v="7500"/>
    <n v="3900"/>
    <n v="3600"/>
    <x v="7"/>
  </r>
  <r>
    <x v="99"/>
    <x v="48"/>
    <x v="3"/>
    <s v="Peter"/>
    <s v="Office Chair"/>
    <x v="0"/>
    <n v="2"/>
    <n v="11250"/>
    <n v="8500"/>
    <n v="22500"/>
    <n v="17000"/>
    <n v="5500"/>
    <x v="24"/>
  </r>
  <r>
    <x v="100"/>
    <x v="49"/>
    <x v="1"/>
    <s v="Brian"/>
    <s v="Laptop"/>
    <x v="2"/>
    <n v="6"/>
    <n v="65000"/>
    <n v="52000"/>
    <n v="390000"/>
    <n v="312000"/>
    <n v="78000"/>
    <x v="18"/>
  </r>
  <r>
    <x v="101"/>
    <x v="50"/>
    <x v="3"/>
    <s v="Mercy"/>
    <s v="Notebook Pack"/>
    <x v="1"/>
    <n v="5"/>
    <n v="405"/>
    <n v="230"/>
    <n v="2025"/>
    <n v="1150"/>
    <n v="875"/>
    <x v="25"/>
  </r>
  <r>
    <x v="102"/>
    <x v="50"/>
    <x v="3"/>
    <s v="Brian"/>
    <s v="Laptop"/>
    <x v="2"/>
    <n v="7"/>
    <n v="71500"/>
    <n v="52000"/>
    <n v="500500"/>
    <n v="364000"/>
    <n v="136500"/>
    <x v="26"/>
  </r>
  <r>
    <x v="103"/>
    <x v="51"/>
    <x v="1"/>
    <s v="Faith"/>
    <s v="USB Drive"/>
    <x v="3"/>
    <n v="5"/>
    <n v="945"/>
    <n v="400"/>
    <n v="4725"/>
    <n v="2000"/>
    <n v="2725"/>
    <x v="21"/>
  </r>
  <r>
    <x v="104"/>
    <x v="51"/>
    <x v="0"/>
    <s v="Amina"/>
    <s v="Headphones"/>
    <x v="2"/>
    <n v="5"/>
    <n v="4500"/>
    <n v="2800"/>
    <n v="22500"/>
    <n v="14000"/>
    <n v="8500"/>
    <x v="3"/>
  </r>
  <r>
    <x v="105"/>
    <x v="52"/>
    <x v="3"/>
    <s v="Brian"/>
    <s v="Keyboard"/>
    <x v="3"/>
    <n v="2"/>
    <n v="2500"/>
    <n v="1300"/>
    <n v="5000"/>
    <n v="2600"/>
    <n v="2400"/>
    <x v="7"/>
  </r>
  <r>
    <x v="106"/>
    <x v="52"/>
    <x v="1"/>
    <s v="Mercy"/>
    <s v="Printer"/>
    <x v="1"/>
    <n v="8"/>
    <n v="24000"/>
    <n v="18500"/>
    <n v="192000"/>
    <n v="148000"/>
    <n v="44000"/>
    <x v="13"/>
  </r>
  <r>
    <x v="107"/>
    <x v="52"/>
    <x v="1"/>
    <s v="Mercy"/>
    <s v="USB Drive"/>
    <x v="3"/>
    <n v="8"/>
    <n v="900"/>
    <n v="400"/>
    <n v="7200"/>
    <n v="3200"/>
    <n v="4000"/>
    <x v="14"/>
  </r>
  <r>
    <x v="108"/>
    <x v="53"/>
    <x v="3"/>
    <s v="Peter"/>
    <s v="Monitor"/>
    <x v="2"/>
    <n v="5"/>
    <n v="18900"/>
    <n v="13500"/>
    <n v="94500"/>
    <n v="67500"/>
    <n v="27000"/>
    <x v="4"/>
  </r>
  <r>
    <x v="109"/>
    <x v="54"/>
    <x v="0"/>
    <s v="Mercy"/>
    <s v="Headphones"/>
    <x v="2"/>
    <n v="1"/>
    <n v="4725"/>
    <n v="2800"/>
    <n v="4725"/>
    <n v="2800"/>
    <n v="1925"/>
    <x v="19"/>
  </r>
  <r>
    <x v="110"/>
    <x v="55"/>
    <x v="1"/>
    <s v="Faith"/>
    <s v="Desk"/>
    <x v="0"/>
    <n v="6"/>
    <n v="22000"/>
    <n v="15500"/>
    <n v="132000"/>
    <n v="93000"/>
    <n v="39000"/>
    <x v="0"/>
  </r>
  <r>
    <x v="111"/>
    <x v="55"/>
    <x v="3"/>
    <s v="Amina"/>
    <s v="Monitor"/>
    <x v="2"/>
    <n v="8"/>
    <n v="19800"/>
    <n v="13500"/>
    <n v="158400"/>
    <n v="108000"/>
    <n v="50400"/>
    <x v="27"/>
  </r>
  <r>
    <x v="112"/>
    <x v="56"/>
    <x v="1"/>
    <s v="Brian"/>
    <s v="Keyboard"/>
    <x v="3"/>
    <n v="1"/>
    <n v="2500"/>
    <n v="1300"/>
    <n v="2500"/>
    <n v="1300"/>
    <n v="1200"/>
    <x v="7"/>
  </r>
  <r>
    <x v="113"/>
    <x v="57"/>
    <x v="1"/>
    <s v="Kevin"/>
    <s v="Monitor"/>
    <x v="2"/>
    <n v="3"/>
    <n v="18000"/>
    <n v="13500"/>
    <n v="54000"/>
    <n v="40500"/>
    <n v="13500"/>
    <x v="2"/>
  </r>
  <r>
    <x v="114"/>
    <x v="57"/>
    <x v="3"/>
    <s v="Faith"/>
    <s v="Monitor"/>
    <x v="2"/>
    <n v="1"/>
    <n v="18000"/>
    <n v="13500"/>
    <n v="18000"/>
    <n v="13500"/>
    <n v="4500"/>
    <x v="2"/>
  </r>
  <r>
    <x v="115"/>
    <x v="58"/>
    <x v="4"/>
    <s v="Kevin"/>
    <s v="Mouse"/>
    <x v="3"/>
    <n v="8"/>
    <n v="1080"/>
    <n v="550"/>
    <n v="8640"/>
    <n v="4400"/>
    <n v="4240"/>
    <x v="28"/>
  </r>
  <r>
    <x v="116"/>
    <x v="59"/>
    <x v="3"/>
    <s v="Mercy"/>
    <s v="Keyboard"/>
    <x v="3"/>
    <n v="5"/>
    <n v="2750"/>
    <n v="1300"/>
    <n v="13750"/>
    <n v="6500"/>
    <n v="7250"/>
    <x v="29"/>
  </r>
  <r>
    <x v="117"/>
    <x v="60"/>
    <x v="4"/>
    <s v="Amina"/>
    <s v="Keyboard"/>
    <x v="3"/>
    <n v="4"/>
    <n v="2500"/>
    <n v="1300"/>
    <n v="10000"/>
    <n v="5200"/>
    <n v="4800"/>
    <x v="7"/>
  </r>
  <r>
    <x v="118"/>
    <x v="60"/>
    <x v="3"/>
    <s v="Amina"/>
    <s v="Monitor"/>
    <x v="2"/>
    <n v="4"/>
    <n v="18000"/>
    <n v="13500"/>
    <n v="72000"/>
    <n v="54000"/>
    <n v="18000"/>
    <x v="2"/>
  </r>
  <r>
    <x v="119"/>
    <x v="60"/>
    <x v="2"/>
    <s v="Amina"/>
    <s v="Laptop"/>
    <x v="2"/>
    <n v="3"/>
    <n v="65000"/>
    <n v="52000"/>
    <n v="195000"/>
    <n v="156000"/>
    <n v="39000"/>
    <x v="18"/>
  </r>
  <r>
    <x v="120"/>
    <x v="61"/>
    <x v="1"/>
    <s v="Peter"/>
    <s v="Laptop"/>
    <x v="2"/>
    <n v="8"/>
    <n v="65000"/>
    <n v="52000"/>
    <n v="520000"/>
    <n v="416000"/>
    <n v="104000"/>
    <x v="18"/>
  </r>
  <r>
    <x v="121"/>
    <x v="61"/>
    <x v="4"/>
    <s v="Faith"/>
    <s v="Notebook Pack"/>
    <x v="1"/>
    <n v="4"/>
    <n v="450"/>
    <n v="230"/>
    <n v="1800"/>
    <n v="920"/>
    <n v="880"/>
    <x v="1"/>
  </r>
  <r>
    <x v="122"/>
    <x v="62"/>
    <x v="0"/>
    <s v="Peter"/>
    <s v="Keyboard"/>
    <x v="3"/>
    <n v="6"/>
    <n v="2625"/>
    <n v="1300"/>
    <n v="15750"/>
    <n v="7800"/>
    <n v="7950"/>
    <x v="9"/>
  </r>
  <r>
    <x v="123"/>
    <x v="63"/>
    <x v="2"/>
    <s v="Peter"/>
    <s v="Mouse"/>
    <x v="3"/>
    <n v="6"/>
    <n v="1200"/>
    <n v="550"/>
    <n v="7200"/>
    <n v="3300"/>
    <n v="3900"/>
    <x v="5"/>
  </r>
  <r>
    <x v="124"/>
    <x v="64"/>
    <x v="1"/>
    <s v="Kevin"/>
    <s v="Keyboard"/>
    <x v="3"/>
    <n v="5"/>
    <n v="2500"/>
    <n v="1300"/>
    <n v="12500"/>
    <n v="6500"/>
    <n v="6000"/>
    <x v="7"/>
  </r>
  <r>
    <x v="125"/>
    <x v="64"/>
    <x v="4"/>
    <s v="Amina"/>
    <s v="Headphones"/>
    <x v="2"/>
    <n v="1"/>
    <n v="4500"/>
    <n v="2800"/>
    <n v="4500"/>
    <n v="2800"/>
    <n v="1700"/>
    <x v="3"/>
  </r>
  <r>
    <x v="126"/>
    <x v="65"/>
    <x v="4"/>
    <s v="Peter"/>
    <s v="Headphones"/>
    <x v="2"/>
    <n v="3"/>
    <n v="4950"/>
    <n v="2800"/>
    <n v="14850"/>
    <n v="8400"/>
    <n v="6450"/>
    <x v="30"/>
  </r>
  <r>
    <x v="127"/>
    <x v="66"/>
    <x v="0"/>
    <s v="Kevin"/>
    <s v="USB Drive"/>
    <x v="3"/>
    <n v="8"/>
    <n v="900"/>
    <n v="400"/>
    <n v="7200"/>
    <n v="3200"/>
    <n v="4000"/>
    <x v="14"/>
  </r>
  <r>
    <x v="128"/>
    <x v="66"/>
    <x v="3"/>
    <s v="Mercy"/>
    <s v="Monitor"/>
    <x v="2"/>
    <n v="8"/>
    <n v="18000"/>
    <n v="13500"/>
    <n v="144000"/>
    <n v="108000"/>
    <n v="36000"/>
    <x v="2"/>
  </r>
  <r>
    <x v="129"/>
    <x v="67"/>
    <x v="0"/>
    <s v="Faith"/>
    <s v="Monitor"/>
    <x v="2"/>
    <n v="1"/>
    <n v="18000"/>
    <n v="13500"/>
    <n v="18000"/>
    <n v="13500"/>
    <n v="4500"/>
    <x v="2"/>
  </r>
  <r>
    <x v="130"/>
    <x v="68"/>
    <x v="2"/>
    <s v="Brian"/>
    <s v="Desk"/>
    <x v="0"/>
    <n v="2"/>
    <n v="19800"/>
    <n v="15500"/>
    <n v="39600"/>
    <n v="31000"/>
    <n v="8600"/>
    <x v="31"/>
  </r>
  <r>
    <x v="131"/>
    <x v="68"/>
    <x v="4"/>
    <s v="Peter"/>
    <s v="Laptop"/>
    <x v="2"/>
    <n v="5"/>
    <n v="65000"/>
    <n v="52000"/>
    <n v="325000"/>
    <n v="260000"/>
    <n v="65000"/>
    <x v="18"/>
  </r>
  <r>
    <x v="132"/>
    <x v="69"/>
    <x v="1"/>
    <s v="Amina"/>
    <s v="Laptop"/>
    <x v="2"/>
    <n v="1"/>
    <n v="65000"/>
    <n v="52000"/>
    <n v="65000"/>
    <n v="52000"/>
    <n v="13000"/>
    <x v="18"/>
  </r>
  <r>
    <x v="133"/>
    <x v="69"/>
    <x v="0"/>
    <s v="Amina"/>
    <s v="Notebook Pack"/>
    <x v="1"/>
    <n v="5"/>
    <n v="495"/>
    <n v="230"/>
    <n v="2475"/>
    <n v="1150"/>
    <n v="1325"/>
    <x v="15"/>
  </r>
  <r>
    <x v="134"/>
    <x v="69"/>
    <x v="1"/>
    <s v="Peter"/>
    <s v="Keyboard"/>
    <x v="3"/>
    <n v="3"/>
    <n v="2500"/>
    <n v="1300"/>
    <n v="7500"/>
    <n v="3900"/>
    <n v="3600"/>
    <x v="7"/>
  </r>
  <r>
    <x v="135"/>
    <x v="70"/>
    <x v="0"/>
    <s v="Faith"/>
    <s v="Keyboard"/>
    <x v="3"/>
    <n v="3"/>
    <n v="2500"/>
    <n v="1300"/>
    <n v="7500"/>
    <n v="3900"/>
    <n v="3600"/>
    <x v="7"/>
  </r>
  <r>
    <x v="136"/>
    <x v="70"/>
    <x v="2"/>
    <s v="Peter"/>
    <s v="Monitor"/>
    <x v="2"/>
    <n v="1"/>
    <n v="18000"/>
    <n v="13500"/>
    <n v="18000"/>
    <n v="13500"/>
    <n v="4500"/>
    <x v="2"/>
  </r>
  <r>
    <x v="137"/>
    <x v="70"/>
    <x v="3"/>
    <s v="Faith"/>
    <s v="Mouse"/>
    <x v="3"/>
    <n v="5"/>
    <n v="1260"/>
    <n v="550"/>
    <n v="6300"/>
    <n v="2750"/>
    <n v="3550"/>
    <x v="6"/>
  </r>
  <r>
    <x v="138"/>
    <x v="71"/>
    <x v="3"/>
    <s v="Amina"/>
    <s v="Monitor"/>
    <x v="2"/>
    <n v="8"/>
    <n v="18000"/>
    <n v="13500"/>
    <n v="144000"/>
    <n v="108000"/>
    <n v="36000"/>
    <x v="2"/>
  </r>
  <r>
    <x v="139"/>
    <x v="72"/>
    <x v="1"/>
    <s v="Kevin"/>
    <s v="Mouse"/>
    <x v="3"/>
    <n v="8"/>
    <n v="1200"/>
    <n v="550"/>
    <n v="9600"/>
    <n v="4400"/>
    <n v="5200"/>
    <x v="5"/>
  </r>
  <r>
    <x v="140"/>
    <x v="73"/>
    <x v="1"/>
    <s v="Brian"/>
    <s v="Mouse"/>
    <x v="3"/>
    <n v="4"/>
    <n v="1200"/>
    <n v="550"/>
    <n v="4800"/>
    <n v="2200"/>
    <n v="2600"/>
    <x v="5"/>
  </r>
  <r>
    <x v="141"/>
    <x v="73"/>
    <x v="2"/>
    <s v="Amina"/>
    <s v="Notebook Pack"/>
    <x v="1"/>
    <n v="5"/>
    <n v="405"/>
    <n v="230"/>
    <n v="2025"/>
    <n v="1150"/>
    <n v="875"/>
    <x v="25"/>
  </r>
  <r>
    <x v="142"/>
    <x v="73"/>
    <x v="3"/>
    <s v="Mercy"/>
    <s v="Headphones"/>
    <x v="2"/>
    <n v="4"/>
    <n v="4050"/>
    <n v="2800"/>
    <n v="16200"/>
    <n v="11200"/>
    <n v="5000"/>
    <x v="32"/>
  </r>
  <r>
    <x v="143"/>
    <x v="74"/>
    <x v="3"/>
    <s v="Brian"/>
    <s v="USB Drive"/>
    <x v="3"/>
    <n v="7"/>
    <n v="810"/>
    <n v="400"/>
    <n v="5670"/>
    <n v="2800"/>
    <n v="2870"/>
    <x v="22"/>
  </r>
  <r>
    <x v="144"/>
    <x v="75"/>
    <x v="0"/>
    <s v="Kevin"/>
    <s v="Notebook Pack"/>
    <x v="1"/>
    <n v="8"/>
    <n v="450"/>
    <n v="230"/>
    <n v="3600"/>
    <n v="1840"/>
    <n v="1760"/>
    <x v="1"/>
  </r>
  <r>
    <x v="145"/>
    <x v="75"/>
    <x v="0"/>
    <s v="Faith"/>
    <s v="Notebook Pack"/>
    <x v="1"/>
    <n v="2"/>
    <n v="450"/>
    <n v="230"/>
    <n v="900"/>
    <n v="460"/>
    <n v="440"/>
    <x v="1"/>
  </r>
  <r>
    <x v="146"/>
    <x v="76"/>
    <x v="1"/>
    <s v="Faith"/>
    <s v="Mouse"/>
    <x v="3"/>
    <n v="7"/>
    <n v="1200"/>
    <n v="550"/>
    <n v="8400"/>
    <n v="3850"/>
    <n v="4550"/>
    <x v="5"/>
  </r>
  <r>
    <x v="147"/>
    <x v="77"/>
    <x v="2"/>
    <s v="Amina"/>
    <s v="Mouse"/>
    <x v="3"/>
    <n v="3"/>
    <n v="1200"/>
    <n v="550"/>
    <n v="3600"/>
    <n v="1650"/>
    <n v="1950"/>
    <x v="5"/>
  </r>
  <r>
    <x v="148"/>
    <x v="77"/>
    <x v="1"/>
    <s v="Kevin"/>
    <s v="Mouse"/>
    <x v="3"/>
    <n v="5"/>
    <n v="1200"/>
    <n v="550"/>
    <n v="6000"/>
    <n v="2750"/>
    <n v="3250"/>
    <x v="5"/>
  </r>
  <r>
    <x v="149"/>
    <x v="77"/>
    <x v="3"/>
    <s v="Faith"/>
    <s v="Notebook Pack"/>
    <x v="1"/>
    <n v="8"/>
    <n v="450"/>
    <n v="230"/>
    <n v="3600"/>
    <n v="1840"/>
    <n v="1760"/>
    <x v="1"/>
  </r>
  <r>
    <x v="150"/>
    <x v="78"/>
    <x v="0"/>
    <s v="Kevin"/>
    <s v="Office Chair"/>
    <x v="0"/>
    <n v="1"/>
    <n v="12500"/>
    <n v="8500"/>
    <n v="12500"/>
    <n v="8500"/>
    <n v="4000"/>
    <x v="8"/>
  </r>
  <r>
    <x v="151"/>
    <x v="78"/>
    <x v="1"/>
    <s v="Faith"/>
    <s v="Keyboard"/>
    <x v="3"/>
    <n v="5"/>
    <n v="2500"/>
    <n v="1300"/>
    <n v="12500"/>
    <n v="6500"/>
    <n v="6000"/>
    <x v="7"/>
  </r>
  <r>
    <x v="152"/>
    <x v="78"/>
    <x v="3"/>
    <s v="Brian"/>
    <s v="Headphones"/>
    <x v="2"/>
    <n v="6"/>
    <n v="4500"/>
    <n v="2800"/>
    <n v="27000"/>
    <n v="16800"/>
    <n v="10200"/>
    <x v="3"/>
  </r>
  <r>
    <x v="153"/>
    <x v="79"/>
    <x v="1"/>
    <s v="Peter"/>
    <s v="Monitor"/>
    <x v="2"/>
    <n v="5"/>
    <n v="18000"/>
    <n v="13500"/>
    <n v="90000"/>
    <n v="67500"/>
    <n v="22500"/>
    <x v="2"/>
  </r>
  <r>
    <x v="154"/>
    <x v="80"/>
    <x v="1"/>
    <s v="Mercy"/>
    <s v="USB Drive"/>
    <x v="3"/>
    <n v="3"/>
    <n v="810"/>
    <n v="400"/>
    <n v="2430"/>
    <n v="1200"/>
    <n v="1230"/>
    <x v="22"/>
  </r>
  <r>
    <x v="155"/>
    <x v="81"/>
    <x v="4"/>
    <s v="Kevin"/>
    <s v="Keyboard"/>
    <x v="3"/>
    <n v="4"/>
    <n v="2500"/>
    <n v="1300"/>
    <n v="10000"/>
    <n v="5200"/>
    <n v="4800"/>
    <x v="7"/>
  </r>
  <r>
    <x v="156"/>
    <x v="81"/>
    <x v="1"/>
    <s v="Peter"/>
    <s v="Headphones"/>
    <x v="2"/>
    <n v="6"/>
    <n v="4725"/>
    <n v="2800"/>
    <n v="28350"/>
    <n v="16800"/>
    <n v="11550"/>
    <x v="19"/>
  </r>
  <r>
    <x v="157"/>
    <x v="82"/>
    <x v="4"/>
    <s v="Kevin"/>
    <s v="Headphones"/>
    <x v="2"/>
    <n v="7"/>
    <n v="4500"/>
    <n v="2800"/>
    <n v="31500"/>
    <n v="19600"/>
    <n v="11900"/>
    <x v="3"/>
  </r>
  <r>
    <x v="158"/>
    <x v="82"/>
    <x v="1"/>
    <s v="Mercy"/>
    <s v="Monitor"/>
    <x v="2"/>
    <n v="1"/>
    <n v="19800"/>
    <n v="13500"/>
    <n v="19800"/>
    <n v="13500"/>
    <n v="6300"/>
    <x v="27"/>
  </r>
  <r>
    <x v="159"/>
    <x v="83"/>
    <x v="1"/>
    <s v="Mercy"/>
    <s v="Printer"/>
    <x v="1"/>
    <n v="8"/>
    <n v="21600"/>
    <n v="18500"/>
    <n v="172800"/>
    <n v="148000"/>
    <n v="24800"/>
    <x v="16"/>
  </r>
  <r>
    <x v="160"/>
    <x v="83"/>
    <x v="1"/>
    <s v="Brian"/>
    <s v="USB Drive"/>
    <x v="3"/>
    <n v="8"/>
    <n v="945"/>
    <n v="400"/>
    <n v="7560"/>
    <n v="3200"/>
    <n v="4360"/>
    <x v="21"/>
  </r>
  <r>
    <x v="161"/>
    <x v="83"/>
    <x v="1"/>
    <s v="Brian"/>
    <s v="Desk"/>
    <x v="0"/>
    <n v="2"/>
    <n v="22000"/>
    <n v="15500"/>
    <n v="44000"/>
    <n v="31000"/>
    <n v="13000"/>
    <x v="0"/>
  </r>
  <r>
    <x v="162"/>
    <x v="84"/>
    <x v="0"/>
    <s v="Brian"/>
    <s v="Keyboard"/>
    <x v="3"/>
    <n v="6"/>
    <n v="2500"/>
    <n v="1300"/>
    <n v="15000"/>
    <n v="7800"/>
    <n v="7200"/>
    <x v="7"/>
  </r>
  <r>
    <x v="163"/>
    <x v="85"/>
    <x v="1"/>
    <s v="Peter"/>
    <s v="Headphones"/>
    <x v="2"/>
    <n v="3"/>
    <n v="4050"/>
    <n v="2800"/>
    <n v="12150"/>
    <n v="8400"/>
    <n v="3750"/>
    <x v="32"/>
  </r>
  <r>
    <x v="164"/>
    <x v="85"/>
    <x v="2"/>
    <s v="Amina"/>
    <s v="Keyboard"/>
    <x v="3"/>
    <n v="4"/>
    <n v="2500"/>
    <n v="1300"/>
    <n v="10000"/>
    <n v="5200"/>
    <n v="4800"/>
    <x v="7"/>
  </r>
  <r>
    <x v="165"/>
    <x v="86"/>
    <x v="1"/>
    <s v="Peter"/>
    <s v="Laptop"/>
    <x v="2"/>
    <n v="7"/>
    <n v="58500"/>
    <n v="52000"/>
    <n v="409500"/>
    <n v="364000"/>
    <n v="45500"/>
    <x v="33"/>
  </r>
  <r>
    <x v="166"/>
    <x v="87"/>
    <x v="4"/>
    <s v="Peter"/>
    <s v="Keyboard"/>
    <x v="3"/>
    <n v="4"/>
    <n v="2500"/>
    <n v="1300"/>
    <n v="10000"/>
    <n v="5200"/>
    <n v="4800"/>
    <x v="7"/>
  </r>
  <r>
    <x v="167"/>
    <x v="87"/>
    <x v="3"/>
    <s v="Brian"/>
    <s v="Laptop"/>
    <x v="2"/>
    <n v="6"/>
    <n v="65000"/>
    <n v="52000"/>
    <n v="390000"/>
    <n v="312000"/>
    <n v="78000"/>
    <x v="18"/>
  </r>
  <r>
    <x v="168"/>
    <x v="88"/>
    <x v="3"/>
    <s v="Faith"/>
    <s v="Mouse"/>
    <x v="3"/>
    <n v="7"/>
    <n v="1200"/>
    <n v="550"/>
    <n v="8400"/>
    <n v="3850"/>
    <n v="4550"/>
    <x v="5"/>
  </r>
  <r>
    <x v="169"/>
    <x v="88"/>
    <x v="3"/>
    <s v="Mercy"/>
    <s v="Desk"/>
    <x v="0"/>
    <n v="2"/>
    <n v="19800"/>
    <n v="15500"/>
    <n v="39600"/>
    <n v="31000"/>
    <n v="8600"/>
    <x v="31"/>
  </r>
  <r>
    <x v="170"/>
    <x v="89"/>
    <x v="1"/>
    <s v="Amina"/>
    <s v="Headphones"/>
    <x v="2"/>
    <n v="7"/>
    <n v="4500"/>
    <n v="2800"/>
    <n v="31500"/>
    <n v="19600"/>
    <n v="11900"/>
    <x v="3"/>
  </r>
  <r>
    <x v="171"/>
    <x v="89"/>
    <x v="1"/>
    <s v="Kevin"/>
    <s v="Desk"/>
    <x v="0"/>
    <n v="4"/>
    <n v="22000"/>
    <n v="15500"/>
    <n v="88000"/>
    <n v="62000"/>
    <n v="26000"/>
    <x v="0"/>
  </r>
  <r>
    <x v="172"/>
    <x v="90"/>
    <x v="1"/>
    <s v="Kevin"/>
    <s v="Printer"/>
    <x v="1"/>
    <n v="6"/>
    <n v="21600"/>
    <n v="18500"/>
    <n v="129600"/>
    <n v="111000"/>
    <n v="18600"/>
    <x v="16"/>
  </r>
  <r>
    <x v="173"/>
    <x v="91"/>
    <x v="3"/>
    <s v="Kevin"/>
    <s v="Mouse"/>
    <x v="3"/>
    <n v="2"/>
    <n v="1200"/>
    <n v="550"/>
    <n v="2400"/>
    <n v="1100"/>
    <n v="1300"/>
    <x v="5"/>
  </r>
  <r>
    <x v="174"/>
    <x v="92"/>
    <x v="3"/>
    <s v="Peter"/>
    <s v="Notebook Pack"/>
    <x v="1"/>
    <n v="2"/>
    <n v="450"/>
    <n v="230"/>
    <n v="900"/>
    <n v="460"/>
    <n v="440"/>
    <x v="1"/>
  </r>
  <r>
    <x v="175"/>
    <x v="92"/>
    <x v="1"/>
    <s v="Kevin"/>
    <s v="USB Drive"/>
    <x v="3"/>
    <n v="2"/>
    <n v="900"/>
    <n v="400"/>
    <n v="1800"/>
    <n v="800"/>
    <n v="1000"/>
    <x v="14"/>
  </r>
  <r>
    <x v="176"/>
    <x v="93"/>
    <x v="4"/>
    <s v="Amina"/>
    <s v="Laptop"/>
    <x v="2"/>
    <n v="2"/>
    <n v="65000"/>
    <n v="52000"/>
    <n v="130000"/>
    <n v="104000"/>
    <n v="26000"/>
    <x v="18"/>
  </r>
  <r>
    <x v="177"/>
    <x v="94"/>
    <x v="1"/>
    <s v="Kevin"/>
    <s v="Notebook Pack"/>
    <x v="1"/>
    <n v="3"/>
    <n v="450"/>
    <n v="230"/>
    <n v="1350"/>
    <n v="690"/>
    <n v="660"/>
    <x v="1"/>
  </r>
  <r>
    <x v="178"/>
    <x v="94"/>
    <x v="0"/>
    <s v="Kevin"/>
    <s v="USB Drive"/>
    <x v="3"/>
    <n v="7"/>
    <n v="945"/>
    <n v="400"/>
    <n v="6615"/>
    <n v="2800"/>
    <n v="3815"/>
    <x v="21"/>
  </r>
  <r>
    <x v="179"/>
    <x v="94"/>
    <x v="1"/>
    <s v="Kevin"/>
    <s v="Headphones"/>
    <x v="2"/>
    <n v="4"/>
    <n v="4500"/>
    <n v="2800"/>
    <n v="18000"/>
    <n v="11200"/>
    <n v="6800"/>
    <x v="3"/>
  </r>
  <r>
    <x v="180"/>
    <x v="95"/>
    <x v="1"/>
    <s v="Amina"/>
    <s v="Printer"/>
    <x v="1"/>
    <n v="2"/>
    <n v="24000"/>
    <n v="18500"/>
    <n v="48000"/>
    <n v="37000"/>
    <n v="11000"/>
    <x v="13"/>
  </r>
  <r>
    <x v="181"/>
    <x v="95"/>
    <x v="0"/>
    <s v="Kevin"/>
    <s v="Mouse"/>
    <x v="3"/>
    <n v="8"/>
    <n v="1200"/>
    <n v="550"/>
    <n v="9600"/>
    <n v="4400"/>
    <n v="5200"/>
    <x v="5"/>
  </r>
  <r>
    <x v="182"/>
    <x v="96"/>
    <x v="3"/>
    <s v="Kevin"/>
    <s v="Office Chair"/>
    <x v="0"/>
    <n v="1"/>
    <n v="13125"/>
    <n v="8500"/>
    <n v="13125"/>
    <n v="8500"/>
    <n v="4625"/>
    <x v="34"/>
  </r>
  <r>
    <x v="183"/>
    <x v="97"/>
    <x v="4"/>
    <s v="Brian"/>
    <s v="Monitor"/>
    <x v="2"/>
    <n v="6"/>
    <n v="18900"/>
    <n v="13500"/>
    <n v="113400"/>
    <n v="81000"/>
    <n v="32400"/>
    <x v="4"/>
  </r>
  <r>
    <x v="184"/>
    <x v="97"/>
    <x v="4"/>
    <s v="Kevin"/>
    <s v="Monitor"/>
    <x v="2"/>
    <n v="8"/>
    <n v="18000"/>
    <n v="13500"/>
    <n v="144000"/>
    <n v="108000"/>
    <n v="36000"/>
    <x v="2"/>
  </r>
  <r>
    <x v="185"/>
    <x v="97"/>
    <x v="3"/>
    <s v="Mercy"/>
    <s v="Laptop"/>
    <x v="2"/>
    <n v="4"/>
    <n v="68250"/>
    <n v="52000"/>
    <n v="273000"/>
    <n v="208000"/>
    <n v="65000"/>
    <x v="20"/>
  </r>
  <r>
    <x v="186"/>
    <x v="98"/>
    <x v="1"/>
    <s v="Kevin"/>
    <s v="Mouse"/>
    <x v="3"/>
    <n v="7"/>
    <n v="1200"/>
    <n v="550"/>
    <n v="8400"/>
    <n v="3850"/>
    <n v="4550"/>
    <x v="5"/>
  </r>
  <r>
    <x v="187"/>
    <x v="98"/>
    <x v="2"/>
    <s v="Peter"/>
    <s v="Laptop"/>
    <x v="2"/>
    <n v="3"/>
    <n v="65000"/>
    <n v="52000"/>
    <n v="195000"/>
    <n v="156000"/>
    <n v="39000"/>
    <x v="18"/>
  </r>
  <r>
    <x v="188"/>
    <x v="99"/>
    <x v="1"/>
    <s v="Amina"/>
    <s v="Keyboard"/>
    <x v="3"/>
    <n v="2"/>
    <n v="2500"/>
    <n v="1300"/>
    <n v="5000"/>
    <n v="2600"/>
    <n v="2400"/>
    <x v="7"/>
  </r>
  <r>
    <x v="189"/>
    <x v="100"/>
    <x v="3"/>
    <s v="Brian"/>
    <s v="Headphones"/>
    <x v="2"/>
    <n v="3"/>
    <n v="4050"/>
    <n v="2800"/>
    <n v="12150"/>
    <n v="8400"/>
    <n v="3750"/>
    <x v="32"/>
  </r>
  <r>
    <x v="190"/>
    <x v="101"/>
    <x v="3"/>
    <s v="Faith"/>
    <s v="Headphones"/>
    <x v="2"/>
    <n v="7"/>
    <n v="4950"/>
    <n v="2800"/>
    <n v="34650"/>
    <n v="19600"/>
    <n v="15050"/>
    <x v="30"/>
  </r>
  <r>
    <x v="191"/>
    <x v="102"/>
    <x v="2"/>
    <s v="Amina"/>
    <s v="Mouse"/>
    <x v="3"/>
    <n v="3"/>
    <n v="1200"/>
    <n v="550"/>
    <n v="3600"/>
    <n v="1650"/>
    <n v="1950"/>
    <x v="5"/>
  </r>
  <r>
    <x v="192"/>
    <x v="103"/>
    <x v="4"/>
    <s v="Kevin"/>
    <s v="Mouse"/>
    <x v="3"/>
    <n v="6"/>
    <n v="1200"/>
    <n v="550"/>
    <n v="7200"/>
    <n v="3300"/>
    <n v="3900"/>
    <x v="5"/>
  </r>
  <r>
    <x v="193"/>
    <x v="104"/>
    <x v="2"/>
    <s v="Faith"/>
    <s v="Laptop"/>
    <x v="2"/>
    <n v="1"/>
    <n v="71500"/>
    <n v="52000"/>
    <n v="71500"/>
    <n v="52000"/>
    <n v="19500"/>
    <x v="26"/>
  </r>
  <r>
    <x v="194"/>
    <x v="105"/>
    <x v="1"/>
    <s v="Kevin"/>
    <s v="Monitor"/>
    <x v="2"/>
    <n v="4"/>
    <n v="18000"/>
    <n v="13500"/>
    <n v="72000"/>
    <n v="54000"/>
    <n v="18000"/>
    <x v="2"/>
  </r>
  <r>
    <x v="195"/>
    <x v="105"/>
    <x v="1"/>
    <s v="Mercy"/>
    <s v="Office Chair"/>
    <x v="0"/>
    <n v="4"/>
    <n v="12500"/>
    <n v="8500"/>
    <n v="50000"/>
    <n v="34000"/>
    <n v="16000"/>
    <x v="8"/>
  </r>
  <r>
    <x v="196"/>
    <x v="105"/>
    <x v="1"/>
    <s v="Kevin"/>
    <s v="Keyboard"/>
    <x v="3"/>
    <n v="3"/>
    <n v="2625"/>
    <n v="1300"/>
    <n v="7875"/>
    <n v="3900"/>
    <n v="3975"/>
    <x v="9"/>
  </r>
  <r>
    <x v="197"/>
    <x v="105"/>
    <x v="1"/>
    <s v="Peter"/>
    <s v="Keyboard"/>
    <x v="3"/>
    <n v="5"/>
    <n v="2500"/>
    <n v="1300"/>
    <n v="12500"/>
    <n v="6500"/>
    <n v="6000"/>
    <x v="7"/>
  </r>
  <r>
    <x v="198"/>
    <x v="106"/>
    <x v="0"/>
    <s v="Kevin"/>
    <s v="Keyboard"/>
    <x v="3"/>
    <n v="5"/>
    <n v="2500"/>
    <n v="1300"/>
    <n v="12500"/>
    <n v="6500"/>
    <n v="6000"/>
    <x v="7"/>
  </r>
  <r>
    <x v="199"/>
    <x v="107"/>
    <x v="1"/>
    <s v="Amina"/>
    <s v="Monitor"/>
    <x v="2"/>
    <n v="1"/>
    <n v="18900"/>
    <n v="13500"/>
    <n v="18900"/>
    <n v="13500"/>
    <n v="5400"/>
    <x v="4"/>
  </r>
  <r>
    <x v="200"/>
    <x v="108"/>
    <x v="1"/>
    <s v="Faith"/>
    <s v="Mouse"/>
    <x v="3"/>
    <n v="8"/>
    <n v="1200"/>
    <n v="550"/>
    <n v="9600"/>
    <n v="4400"/>
    <n v="5200"/>
    <x v="5"/>
  </r>
  <r>
    <x v="201"/>
    <x v="108"/>
    <x v="1"/>
    <s v="Amina"/>
    <s v="Office Chair"/>
    <x v="0"/>
    <n v="8"/>
    <n v="12500"/>
    <n v="8500"/>
    <n v="100000"/>
    <n v="68000"/>
    <n v="32000"/>
    <x v="8"/>
  </r>
  <r>
    <x v="202"/>
    <x v="108"/>
    <x v="2"/>
    <s v="Peter"/>
    <s v="USB Drive"/>
    <x v="3"/>
    <n v="8"/>
    <n v="900"/>
    <n v="400"/>
    <n v="7200"/>
    <n v="3200"/>
    <n v="4000"/>
    <x v="14"/>
  </r>
  <r>
    <x v="203"/>
    <x v="108"/>
    <x v="0"/>
    <s v="Peter"/>
    <s v="Keyboard"/>
    <x v="3"/>
    <n v="5"/>
    <n v="2250"/>
    <n v="1300"/>
    <n v="11250"/>
    <n v="6500"/>
    <n v="4750"/>
    <x v="12"/>
  </r>
  <r>
    <x v="204"/>
    <x v="109"/>
    <x v="3"/>
    <s v="Kevin"/>
    <s v="Keyboard"/>
    <x v="3"/>
    <n v="3"/>
    <n v="2500"/>
    <n v="1300"/>
    <n v="7500"/>
    <n v="3900"/>
    <n v="3600"/>
    <x v="7"/>
  </r>
  <r>
    <x v="205"/>
    <x v="110"/>
    <x v="3"/>
    <s v="Mercy"/>
    <s v="Keyboard"/>
    <x v="3"/>
    <n v="3"/>
    <n v="2500"/>
    <n v="1300"/>
    <n v="7500"/>
    <n v="3900"/>
    <n v="3600"/>
    <x v="7"/>
  </r>
  <r>
    <x v="206"/>
    <x v="110"/>
    <x v="3"/>
    <s v="Peter"/>
    <s v="Notebook Pack"/>
    <x v="1"/>
    <n v="6"/>
    <n v="472.5"/>
    <n v="230"/>
    <n v="2835"/>
    <n v="1380"/>
    <n v="1455"/>
    <x v="35"/>
  </r>
  <r>
    <x v="207"/>
    <x v="111"/>
    <x v="1"/>
    <s v="Mercy"/>
    <s v="USB Drive"/>
    <x v="3"/>
    <n v="5"/>
    <n v="900"/>
    <n v="400"/>
    <n v="4500"/>
    <n v="2000"/>
    <n v="2500"/>
    <x v="14"/>
  </r>
  <r>
    <x v="208"/>
    <x v="111"/>
    <x v="1"/>
    <s v="Mercy"/>
    <s v="Keyboard"/>
    <x v="3"/>
    <n v="1"/>
    <n v="2750"/>
    <n v="1300"/>
    <n v="2750"/>
    <n v="1300"/>
    <n v="1450"/>
    <x v="29"/>
  </r>
  <r>
    <x v="209"/>
    <x v="111"/>
    <x v="1"/>
    <s v="Amina"/>
    <s v="Keyboard"/>
    <x v="3"/>
    <n v="5"/>
    <n v="2500"/>
    <n v="1300"/>
    <n v="12500"/>
    <n v="6500"/>
    <n v="6000"/>
    <x v="7"/>
  </r>
  <r>
    <x v="210"/>
    <x v="111"/>
    <x v="0"/>
    <s v="Kevin"/>
    <s v="Office Chair"/>
    <x v="0"/>
    <n v="8"/>
    <n v="13750"/>
    <n v="8500"/>
    <n v="110000"/>
    <n v="68000"/>
    <n v="42000"/>
    <x v="36"/>
  </r>
  <r>
    <x v="211"/>
    <x v="111"/>
    <x v="4"/>
    <s v="Brian"/>
    <s v="Notebook Pack"/>
    <x v="1"/>
    <n v="2"/>
    <n v="472.5"/>
    <n v="230"/>
    <n v="945"/>
    <n v="460"/>
    <n v="485"/>
    <x v="35"/>
  </r>
  <r>
    <x v="212"/>
    <x v="111"/>
    <x v="1"/>
    <s v="Mercy"/>
    <s v="USB Drive"/>
    <x v="3"/>
    <n v="7"/>
    <n v="900"/>
    <n v="400"/>
    <n v="6300"/>
    <n v="2800"/>
    <n v="3500"/>
    <x v="14"/>
  </r>
  <r>
    <x v="213"/>
    <x v="112"/>
    <x v="2"/>
    <s v="Kevin"/>
    <s v="USB Drive"/>
    <x v="3"/>
    <n v="3"/>
    <n v="945"/>
    <n v="400"/>
    <n v="2835"/>
    <n v="1200"/>
    <n v="1635"/>
    <x v="21"/>
  </r>
  <r>
    <x v="214"/>
    <x v="112"/>
    <x v="0"/>
    <s v="Brian"/>
    <s v="Notebook Pack"/>
    <x v="1"/>
    <n v="1"/>
    <n v="450"/>
    <n v="230"/>
    <n v="450"/>
    <n v="230"/>
    <n v="220"/>
    <x v="1"/>
  </r>
  <r>
    <x v="215"/>
    <x v="113"/>
    <x v="1"/>
    <s v="Amina"/>
    <s v="Keyboard"/>
    <x v="3"/>
    <n v="8"/>
    <n v="2625"/>
    <n v="1300"/>
    <n v="21000"/>
    <n v="10400"/>
    <n v="10600"/>
    <x v="9"/>
  </r>
  <r>
    <x v="216"/>
    <x v="113"/>
    <x v="3"/>
    <s v="Amina"/>
    <s v="Keyboard"/>
    <x v="3"/>
    <n v="1"/>
    <n v="2500"/>
    <n v="1300"/>
    <n v="2500"/>
    <n v="1300"/>
    <n v="1200"/>
    <x v="7"/>
  </r>
  <r>
    <x v="217"/>
    <x v="113"/>
    <x v="1"/>
    <s v="Peter"/>
    <s v="Headphones"/>
    <x v="2"/>
    <n v="7"/>
    <n v="4500"/>
    <n v="2800"/>
    <n v="31500"/>
    <n v="19600"/>
    <n v="11900"/>
    <x v="3"/>
  </r>
  <r>
    <x v="218"/>
    <x v="114"/>
    <x v="0"/>
    <s v="Mercy"/>
    <s v="Notebook Pack"/>
    <x v="1"/>
    <n v="2"/>
    <n v="450"/>
    <n v="230"/>
    <n v="900"/>
    <n v="460"/>
    <n v="440"/>
    <x v="1"/>
  </r>
  <r>
    <x v="219"/>
    <x v="114"/>
    <x v="1"/>
    <s v="Brian"/>
    <s v="Notebook Pack"/>
    <x v="1"/>
    <n v="5"/>
    <n v="472.5"/>
    <n v="230"/>
    <n v="2362.5"/>
    <n v="1150"/>
    <n v="1212.5"/>
    <x v="35"/>
  </r>
  <r>
    <x v="220"/>
    <x v="115"/>
    <x v="3"/>
    <s v="Brian"/>
    <s v="Laptop"/>
    <x v="2"/>
    <n v="4"/>
    <n v="65000"/>
    <n v="52000"/>
    <n v="260000"/>
    <n v="208000"/>
    <n v="52000"/>
    <x v="18"/>
  </r>
  <r>
    <x v="221"/>
    <x v="115"/>
    <x v="1"/>
    <s v="Mercy"/>
    <s v="Desk"/>
    <x v="0"/>
    <n v="1"/>
    <n v="23100"/>
    <n v="15500"/>
    <n v="23100"/>
    <n v="15500"/>
    <n v="7600"/>
    <x v="11"/>
  </r>
  <r>
    <x v="222"/>
    <x v="116"/>
    <x v="3"/>
    <s v="Brian"/>
    <s v="USB Drive"/>
    <x v="3"/>
    <n v="5"/>
    <n v="900"/>
    <n v="400"/>
    <n v="4500"/>
    <n v="2000"/>
    <n v="2500"/>
    <x v="14"/>
  </r>
  <r>
    <x v="223"/>
    <x v="116"/>
    <x v="1"/>
    <s v="Mercy"/>
    <s v="Laptop"/>
    <x v="2"/>
    <n v="8"/>
    <n v="65000"/>
    <n v="52000"/>
    <n v="520000"/>
    <n v="416000"/>
    <n v="104000"/>
    <x v="18"/>
  </r>
  <r>
    <x v="224"/>
    <x v="117"/>
    <x v="4"/>
    <s v="Peter"/>
    <s v="USB Drive"/>
    <x v="3"/>
    <n v="2"/>
    <n v="900"/>
    <n v="400"/>
    <n v="1800"/>
    <n v="800"/>
    <n v="1000"/>
    <x v="14"/>
  </r>
  <r>
    <x v="225"/>
    <x v="117"/>
    <x v="1"/>
    <s v="Brian"/>
    <s v="Notebook Pack"/>
    <x v="1"/>
    <n v="6"/>
    <n v="450"/>
    <n v="230"/>
    <n v="2700"/>
    <n v="1380"/>
    <n v="1320"/>
    <x v="1"/>
  </r>
  <r>
    <x v="226"/>
    <x v="117"/>
    <x v="1"/>
    <s v="Kevin"/>
    <s v="USB Drive"/>
    <x v="3"/>
    <n v="5"/>
    <n v="900"/>
    <n v="400"/>
    <n v="4500"/>
    <n v="2000"/>
    <n v="2500"/>
    <x v="14"/>
  </r>
  <r>
    <x v="227"/>
    <x v="118"/>
    <x v="3"/>
    <s v="Mercy"/>
    <s v="Mouse"/>
    <x v="3"/>
    <n v="4"/>
    <n v="1080"/>
    <n v="550"/>
    <n v="4320"/>
    <n v="2200"/>
    <n v="2120"/>
    <x v="28"/>
  </r>
  <r>
    <x v="228"/>
    <x v="118"/>
    <x v="3"/>
    <s v="Brian"/>
    <s v="Headphones"/>
    <x v="2"/>
    <n v="3"/>
    <n v="4500"/>
    <n v="2800"/>
    <n v="13500"/>
    <n v="8400"/>
    <n v="5100"/>
    <x v="3"/>
  </r>
  <r>
    <x v="229"/>
    <x v="119"/>
    <x v="3"/>
    <s v="Peter"/>
    <s v="Monitor"/>
    <x v="2"/>
    <n v="3"/>
    <n v="18000"/>
    <n v="13500"/>
    <n v="54000"/>
    <n v="40500"/>
    <n v="13500"/>
    <x v="2"/>
  </r>
  <r>
    <x v="230"/>
    <x v="119"/>
    <x v="1"/>
    <s v="Kevin"/>
    <s v="Mouse"/>
    <x v="3"/>
    <n v="8"/>
    <n v="1200"/>
    <n v="550"/>
    <n v="9600"/>
    <n v="4400"/>
    <n v="5200"/>
    <x v="5"/>
  </r>
  <r>
    <x v="231"/>
    <x v="120"/>
    <x v="3"/>
    <s v="Peter"/>
    <s v="Monitor"/>
    <x v="2"/>
    <n v="4"/>
    <n v="19800"/>
    <n v="13500"/>
    <n v="79200"/>
    <n v="54000"/>
    <n v="25200"/>
    <x v="27"/>
  </r>
  <r>
    <x v="232"/>
    <x v="120"/>
    <x v="1"/>
    <s v="Brian"/>
    <s v="Office Chair"/>
    <x v="0"/>
    <n v="6"/>
    <n v="12500"/>
    <n v="8500"/>
    <n v="75000"/>
    <n v="51000"/>
    <n v="24000"/>
    <x v="8"/>
  </r>
  <r>
    <x v="233"/>
    <x v="120"/>
    <x v="0"/>
    <s v="Kevin"/>
    <s v="USB Drive"/>
    <x v="3"/>
    <n v="3"/>
    <n v="900"/>
    <n v="400"/>
    <n v="2700"/>
    <n v="1200"/>
    <n v="1500"/>
    <x v="14"/>
  </r>
  <r>
    <x v="234"/>
    <x v="121"/>
    <x v="4"/>
    <s v="Mercy"/>
    <s v="Mouse"/>
    <x v="3"/>
    <n v="5"/>
    <n v="1200"/>
    <n v="550"/>
    <n v="6000"/>
    <n v="2750"/>
    <n v="3250"/>
    <x v="5"/>
  </r>
  <r>
    <x v="235"/>
    <x v="122"/>
    <x v="0"/>
    <s v="Mercy"/>
    <s v="Notebook Pack"/>
    <x v="1"/>
    <n v="6"/>
    <n v="450"/>
    <n v="230"/>
    <n v="2700"/>
    <n v="1380"/>
    <n v="1320"/>
    <x v="1"/>
  </r>
  <r>
    <x v="236"/>
    <x v="122"/>
    <x v="3"/>
    <s v="Amina"/>
    <s v="USB Drive"/>
    <x v="3"/>
    <n v="1"/>
    <n v="900"/>
    <n v="400"/>
    <n v="900"/>
    <n v="400"/>
    <n v="500"/>
    <x v="14"/>
  </r>
  <r>
    <x v="237"/>
    <x v="122"/>
    <x v="2"/>
    <s v="Brian"/>
    <s v="Headphones"/>
    <x v="2"/>
    <n v="5"/>
    <n v="4500"/>
    <n v="2800"/>
    <n v="22500"/>
    <n v="14000"/>
    <n v="8500"/>
    <x v="3"/>
  </r>
  <r>
    <x v="238"/>
    <x v="123"/>
    <x v="2"/>
    <s v="Mercy"/>
    <s v="Keyboard"/>
    <x v="3"/>
    <n v="2"/>
    <n v="2500"/>
    <n v="1300"/>
    <n v="5000"/>
    <n v="2600"/>
    <n v="2400"/>
    <x v="7"/>
  </r>
  <r>
    <x v="239"/>
    <x v="123"/>
    <x v="3"/>
    <s v="Amina"/>
    <s v="USB Drive"/>
    <x v="3"/>
    <n v="2"/>
    <n v="900"/>
    <n v="400"/>
    <n v="1800"/>
    <n v="800"/>
    <n v="1000"/>
    <x v="14"/>
  </r>
  <r>
    <x v="240"/>
    <x v="123"/>
    <x v="1"/>
    <s v="Peter"/>
    <s v="Headphones"/>
    <x v="2"/>
    <n v="1"/>
    <n v="4500"/>
    <n v="2800"/>
    <n v="4500"/>
    <n v="2800"/>
    <n v="1700"/>
    <x v="3"/>
  </r>
  <r>
    <x v="241"/>
    <x v="124"/>
    <x v="3"/>
    <s v="Faith"/>
    <s v="Laptop"/>
    <x v="2"/>
    <n v="3"/>
    <n v="65000"/>
    <n v="52000"/>
    <n v="195000"/>
    <n v="156000"/>
    <n v="39000"/>
    <x v="18"/>
  </r>
  <r>
    <x v="242"/>
    <x v="124"/>
    <x v="2"/>
    <s v="Amina"/>
    <s v="Headphones"/>
    <x v="2"/>
    <n v="2"/>
    <n v="4725"/>
    <n v="2800"/>
    <n v="9450"/>
    <n v="5600"/>
    <n v="3850"/>
    <x v="19"/>
  </r>
  <r>
    <x v="243"/>
    <x v="125"/>
    <x v="0"/>
    <s v="Amina"/>
    <s v="Mouse"/>
    <x v="3"/>
    <n v="8"/>
    <n v="1200"/>
    <n v="550"/>
    <n v="9600"/>
    <n v="4400"/>
    <n v="5200"/>
    <x v="5"/>
  </r>
  <r>
    <x v="244"/>
    <x v="126"/>
    <x v="1"/>
    <s v="Peter"/>
    <s v="USB Drive"/>
    <x v="3"/>
    <n v="2"/>
    <n v="900"/>
    <n v="400"/>
    <n v="1800"/>
    <n v="800"/>
    <n v="1000"/>
    <x v="14"/>
  </r>
  <r>
    <x v="245"/>
    <x v="127"/>
    <x v="0"/>
    <s v="Amina"/>
    <s v="Headphones"/>
    <x v="2"/>
    <n v="2"/>
    <n v="4500"/>
    <n v="2800"/>
    <n v="9000"/>
    <n v="5600"/>
    <n v="3400"/>
    <x v="3"/>
  </r>
  <r>
    <x v="246"/>
    <x v="128"/>
    <x v="3"/>
    <s v="Brian"/>
    <s v="Laptop"/>
    <x v="2"/>
    <n v="4"/>
    <n v="65000"/>
    <n v="52000"/>
    <n v="260000"/>
    <n v="208000"/>
    <n v="52000"/>
    <x v="18"/>
  </r>
  <r>
    <x v="247"/>
    <x v="129"/>
    <x v="2"/>
    <s v="Peter"/>
    <s v="Mouse"/>
    <x v="3"/>
    <n v="6"/>
    <n v="1200"/>
    <n v="550"/>
    <n v="7200"/>
    <n v="3300"/>
    <n v="3900"/>
    <x v="5"/>
  </r>
  <r>
    <x v="248"/>
    <x v="129"/>
    <x v="1"/>
    <s v="Peter"/>
    <s v="Office Chair"/>
    <x v="0"/>
    <n v="3"/>
    <n v="13750"/>
    <n v="8500"/>
    <n v="41250"/>
    <n v="25500"/>
    <n v="15750"/>
    <x v="36"/>
  </r>
  <r>
    <x v="249"/>
    <x v="130"/>
    <x v="2"/>
    <s v="Mercy"/>
    <s v="Office Chair"/>
    <x v="0"/>
    <n v="5"/>
    <n v="13750"/>
    <n v="8500"/>
    <n v="68750"/>
    <n v="42500"/>
    <n v="26250"/>
    <x v="36"/>
  </r>
  <r>
    <x v="250"/>
    <x v="130"/>
    <x v="4"/>
    <s v="Peter"/>
    <s v="Monitor"/>
    <x v="2"/>
    <n v="2"/>
    <n v="18000"/>
    <n v="13500"/>
    <n v="36000"/>
    <n v="27000"/>
    <n v="9000"/>
    <x v="2"/>
  </r>
  <r>
    <x v="251"/>
    <x v="130"/>
    <x v="4"/>
    <s v="Amina"/>
    <s v="Mouse"/>
    <x v="3"/>
    <n v="5"/>
    <n v="1200"/>
    <n v="550"/>
    <n v="6000"/>
    <n v="2750"/>
    <n v="3250"/>
    <x v="5"/>
  </r>
  <r>
    <x v="252"/>
    <x v="131"/>
    <x v="3"/>
    <s v="Peter"/>
    <s v="Printer"/>
    <x v="1"/>
    <n v="4"/>
    <n v="24000"/>
    <n v="18500"/>
    <n v="96000"/>
    <n v="74000"/>
    <n v="22000"/>
    <x v="13"/>
  </r>
  <r>
    <x v="253"/>
    <x v="131"/>
    <x v="4"/>
    <s v="Brian"/>
    <s v="Office Chair"/>
    <x v="0"/>
    <n v="6"/>
    <n v="13750"/>
    <n v="8500"/>
    <n v="82500"/>
    <n v="51000"/>
    <n v="31500"/>
    <x v="36"/>
  </r>
  <r>
    <x v="254"/>
    <x v="132"/>
    <x v="0"/>
    <s v="Brian"/>
    <s v="Notebook Pack"/>
    <x v="1"/>
    <n v="1"/>
    <n v="450"/>
    <n v="230"/>
    <n v="450"/>
    <n v="230"/>
    <n v="220"/>
    <x v="1"/>
  </r>
  <r>
    <x v="255"/>
    <x v="132"/>
    <x v="1"/>
    <s v="Amina"/>
    <s v="Headphones"/>
    <x v="2"/>
    <n v="2"/>
    <n v="4500"/>
    <n v="2800"/>
    <n v="9000"/>
    <n v="5600"/>
    <n v="3400"/>
    <x v="3"/>
  </r>
  <r>
    <x v="256"/>
    <x v="132"/>
    <x v="1"/>
    <s v="Amina"/>
    <s v="Monitor"/>
    <x v="2"/>
    <n v="2"/>
    <n v="19800"/>
    <n v="13500"/>
    <n v="39600"/>
    <n v="27000"/>
    <n v="12600"/>
    <x v="27"/>
  </r>
  <r>
    <x v="257"/>
    <x v="132"/>
    <x v="0"/>
    <s v="Faith"/>
    <s v="Keyboard"/>
    <x v="3"/>
    <n v="8"/>
    <n v="2750"/>
    <n v="1300"/>
    <n v="22000"/>
    <n v="10400"/>
    <n v="11600"/>
    <x v="29"/>
  </r>
  <r>
    <x v="258"/>
    <x v="132"/>
    <x v="4"/>
    <s v="Brian"/>
    <s v="Headphones"/>
    <x v="2"/>
    <n v="3"/>
    <n v="4500"/>
    <n v="2800"/>
    <n v="13500"/>
    <n v="8400"/>
    <n v="5100"/>
    <x v="3"/>
  </r>
  <r>
    <x v="259"/>
    <x v="133"/>
    <x v="3"/>
    <s v="Mercy"/>
    <s v="Mouse"/>
    <x v="3"/>
    <n v="4"/>
    <n v="1080"/>
    <n v="550"/>
    <n v="4320"/>
    <n v="2200"/>
    <n v="2120"/>
    <x v="28"/>
  </r>
  <r>
    <x v="260"/>
    <x v="133"/>
    <x v="3"/>
    <s v="Mercy"/>
    <s v="USB Drive"/>
    <x v="3"/>
    <n v="5"/>
    <n v="900"/>
    <n v="400"/>
    <n v="4500"/>
    <n v="2000"/>
    <n v="2500"/>
    <x v="14"/>
  </r>
  <r>
    <x v="261"/>
    <x v="133"/>
    <x v="3"/>
    <s v="Faith"/>
    <s v="Headphones"/>
    <x v="2"/>
    <n v="5"/>
    <n v="4500"/>
    <n v="2800"/>
    <n v="22500"/>
    <n v="14000"/>
    <n v="8500"/>
    <x v="3"/>
  </r>
  <r>
    <x v="262"/>
    <x v="134"/>
    <x v="2"/>
    <s v="Faith"/>
    <s v="USB Drive"/>
    <x v="3"/>
    <n v="1"/>
    <n v="900"/>
    <n v="400"/>
    <n v="900"/>
    <n v="400"/>
    <n v="500"/>
    <x v="14"/>
  </r>
  <r>
    <x v="263"/>
    <x v="135"/>
    <x v="2"/>
    <s v="Brian"/>
    <s v="Mouse"/>
    <x v="3"/>
    <n v="6"/>
    <n v="1200"/>
    <n v="550"/>
    <n v="7200"/>
    <n v="3300"/>
    <n v="3900"/>
    <x v="5"/>
  </r>
  <r>
    <x v="264"/>
    <x v="135"/>
    <x v="4"/>
    <s v="Amina"/>
    <s v="USB Drive"/>
    <x v="3"/>
    <n v="7"/>
    <n v="900"/>
    <n v="400"/>
    <n v="6300"/>
    <n v="2800"/>
    <n v="3500"/>
    <x v="14"/>
  </r>
  <r>
    <x v="265"/>
    <x v="136"/>
    <x v="0"/>
    <s v="Faith"/>
    <s v="Notebook Pack"/>
    <x v="1"/>
    <n v="5"/>
    <n v="495"/>
    <n v="230"/>
    <n v="2475"/>
    <n v="1150"/>
    <n v="1325"/>
    <x v="15"/>
  </r>
  <r>
    <x v="266"/>
    <x v="137"/>
    <x v="1"/>
    <s v="Peter"/>
    <s v="Printer"/>
    <x v="1"/>
    <n v="3"/>
    <n v="26400"/>
    <n v="18500"/>
    <n v="79200"/>
    <n v="55500"/>
    <n v="23700"/>
    <x v="10"/>
  </r>
  <r>
    <x v="267"/>
    <x v="137"/>
    <x v="1"/>
    <s v="Kevin"/>
    <s v="Headphones"/>
    <x v="2"/>
    <n v="7"/>
    <n v="4050"/>
    <n v="2800"/>
    <n v="28350"/>
    <n v="19600"/>
    <n v="8750"/>
    <x v="32"/>
  </r>
  <r>
    <x v="268"/>
    <x v="138"/>
    <x v="1"/>
    <s v="Amina"/>
    <s v="USB Drive"/>
    <x v="3"/>
    <n v="1"/>
    <n v="945"/>
    <n v="400"/>
    <n v="945"/>
    <n v="400"/>
    <n v="545"/>
    <x v="21"/>
  </r>
  <r>
    <x v="269"/>
    <x v="139"/>
    <x v="0"/>
    <s v="Kevin"/>
    <s v="Keyboard"/>
    <x v="3"/>
    <n v="1"/>
    <n v="2500"/>
    <n v="1300"/>
    <n v="2500"/>
    <n v="1300"/>
    <n v="1200"/>
    <x v="7"/>
  </r>
  <r>
    <x v="270"/>
    <x v="140"/>
    <x v="1"/>
    <s v="Brian"/>
    <s v="Keyboard"/>
    <x v="3"/>
    <n v="5"/>
    <n v="2500"/>
    <n v="1300"/>
    <n v="12500"/>
    <n v="6500"/>
    <n v="6000"/>
    <x v="7"/>
  </r>
  <r>
    <x v="271"/>
    <x v="141"/>
    <x v="1"/>
    <s v="Brian"/>
    <s v="Headphones"/>
    <x v="2"/>
    <n v="3"/>
    <n v="4500"/>
    <n v="2800"/>
    <n v="13500"/>
    <n v="8400"/>
    <n v="5100"/>
    <x v="3"/>
  </r>
  <r>
    <x v="272"/>
    <x v="142"/>
    <x v="1"/>
    <s v="Brian"/>
    <s v="Mouse"/>
    <x v="3"/>
    <n v="7"/>
    <n v="1200"/>
    <n v="550"/>
    <n v="8400"/>
    <n v="3850"/>
    <n v="4550"/>
    <x v="5"/>
  </r>
  <r>
    <x v="273"/>
    <x v="142"/>
    <x v="3"/>
    <s v="Amina"/>
    <s v="Laptop"/>
    <x v="2"/>
    <n v="6"/>
    <n v="65000"/>
    <n v="52000"/>
    <n v="390000"/>
    <n v="312000"/>
    <n v="78000"/>
    <x v="18"/>
  </r>
  <r>
    <x v="274"/>
    <x v="143"/>
    <x v="0"/>
    <s v="Brian"/>
    <s v="USB Drive"/>
    <x v="3"/>
    <n v="3"/>
    <n v="900"/>
    <n v="400"/>
    <n v="2700"/>
    <n v="1200"/>
    <n v="1500"/>
    <x v="14"/>
  </r>
  <r>
    <x v="275"/>
    <x v="143"/>
    <x v="3"/>
    <s v="Amina"/>
    <s v="Monitor"/>
    <x v="2"/>
    <n v="6"/>
    <n v="18000"/>
    <n v="13500"/>
    <n v="108000"/>
    <n v="81000"/>
    <n v="27000"/>
    <x v="2"/>
  </r>
  <r>
    <x v="276"/>
    <x v="143"/>
    <x v="2"/>
    <s v="Brian"/>
    <s v="Keyboard"/>
    <x v="3"/>
    <n v="1"/>
    <n v="2500"/>
    <n v="1300"/>
    <n v="2500"/>
    <n v="1300"/>
    <n v="1200"/>
    <x v="7"/>
  </r>
  <r>
    <x v="277"/>
    <x v="143"/>
    <x v="4"/>
    <s v="Kevin"/>
    <s v="Mouse"/>
    <x v="3"/>
    <n v="4"/>
    <n v="1200"/>
    <n v="550"/>
    <n v="4800"/>
    <n v="2200"/>
    <n v="2600"/>
    <x v="5"/>
  </r>
  <r>
    <x v="278"/>
    <x v="144"/>
    <x v="1"/>
    <s v="Faith"/>
    <s v="Mouse"/>
    <x v="3"/>
    <n v="5"/>
    <n v="1200"/>
    <n v="550"/>
    <n v="6000"/>
    <n v="2750"/>
    <n v="3250"/>
    <x v="5"/>
  </r>
  <r>
    <x v="279"/>
    <x v="144"/>
    <x v="4"/>
    <s v="Faith"/>
    <s v="USB Drive"/>
    <x v="3"/>
    <n v="2"/>
    <n v="900"/>
    <n v="400"/>
    <n v="1800"/>
    <n v="800"/>
    <n v="1000"/>
    <x v="14"/>
  </r>
  <r>
    <x v="280"/>
    <x v="144"/>
    <x v="1"/>
    <s v="Peter"/>
    <s v="Laptop"/>
    <x v="2"/>
    <n v="3"/>
    <n v="65000"/>
    <n v="52000"/>
    <n v="195000"/>
    <n v="156000"/>
    <n v="39000"/>
    <x v="18"/>
  </r>
  <r>
    <x v="281"/>
    <x v="144"/>
    <x v="3"/>
    <s v="Amina"/>
    <s v="Laptop"/>
    <x v="2"/>
    <n v="6"/>
    <n v="65000"/>
    <n v="52000"/>
    <n v="390000"/>
    <n v="312000"/>
    <n v="78000"/>
    <x v="18"/>
  </r>
  <r>
    <x v="282"/>
    <x v="144"/>
    <x v="1"/>
    <s v="Brian"/>
    <s v="Printer"/>
    <x v="1"/>
    <n v="1"/>
    <n v="24000"/>
    <n v="18500"/>
    <n v="24000"/>
    <n v="18500"/>
    <n v="5500"/>
    <x v="13"/>
  </r>
  <r>
    <x v="283"/>
    <x v="144"/>
    <x v="0"/>
    <s v="Faith"/>
    <s v="Notebook Pack"/>
    <x v="1"/>
    <n v="5"/>
    <n v="450"/>
    <n v="230"/>
    <n v="2250"/>
    <n v="1150"/>
    <n v="1100"/>
    <x v="1"/>
  </r>
  <r>
    <x v="284"/>
    <x v="145"/>
    <x v="2"/>
    <s v="Kevin"/>
    <s v="Desk"/>
    <x v="0"/>
    <n v="5"/>
    <n v="22000"/>
    <n v="15500"/>
    <n v="110000"/>
    <n v="77500"/>
    <n v="32500"/>
    <x v="0"/>
  </r>
  <r>
    <x v="285"/>
    <x v="146"/>
    <x v="3"/>
    <s v="Kevin"/>
    <s v="Mouse"/>
    <x v="3"/>
    <n v="8"/>
    <n v="1320"/>
    <n v="550"/>
    <n v="10560"/>
    <n v="4400"/>
    <n v="6160"/>
    <x v="23"/>
  </r>
  <r>
    <x v="286"/>
    <x v="147"/>
    <x v="2"/>
    <s v="Kevin"/>
    <s v="USB Drive"/>
    <x v="3"/>
    <n v="7"/>
    <n v="900"/>
    <n v="400"/>
    <n v="6300"/>
    <n v="2800"/>
    <n v="3500"/>
    <x v="14"/>
  </r>
  <r>
    <x v="287"/>
    <x v="147"/>
    <x v="4"/>
    <s v="Kevin"/>
    <s v="Keyboard"/>
    <x v="3"/>
    <n v="1"/>
    <n v="2500"/>
    <n v="1300"/>
    <n v="2500"/>
    <n v="1300"/>
    <n v="1200"/>
    <x v="7"/>
  </r>
  <r>
    <x v="288"/>
    <x v="147"/>
    <x v="3"/>
    <s v="Brian"/>
    <s v="Keyboard"/>
    <x v="3"/>
    <n v="2"/>
    <n v="2500"/>
    <n v="1300"/>
    <n v="5000"/>
    <n v="2600"/>
    <n v="2400"/>
    <x v="7"/>
  </r>
  <r>
    <x v="289"/>
    <x v="148"/>
    <x v="1"/>
    <s v="Mercy"/>
    <s v="Mouse"/>
    <x v="3"/>
    <n v="7"/>
    <n v="1200"/>
    <n v="550"/>
    <n v="8400"/>
    <n v="3850"/>
    <n v="4550"/>
    <x v="5"/>
  </r>
  <r>
    <x v="290"/>
    <x v="148"/>
    <x v="0"/>
    <s v="Mercy"/>
    <s v="Headphones"/>
    <x v="2"/>
    <n v="5"/>
    <n v="4725"/>
    <n v="2800"/>
    <n v="23625"/>
    <n v="14000"/>
    <n v="9625"/>
    <x v="19"/>
  </r>
  <r>
    <x v="291"/>
    <x v="149"/>
    <x v="1"/>
    <s v="Faith"/>
    <s v="Office Chair"/>
    <x v="0"/>
    <n v="6"/>
    <n v="12500"/>
    <n v="8500"/>
    <n v="75000"/>
    <n v="51000"/>
    <n v="24000"/>
    <x v="8"/>
  </r>
  <r>
    <x v="292"/>
    <x v="150"/>
    <x v="1"/>
    <s v="Amina"/>
    <s v="Laptop"/>
    <x v="2"/>
    <n v="3"/>
    <n v="68250"/>
    <n v="52000"/>
    <n v="204750"/>
    <n v="156000"/>
    <n v="48750"/>
    <x v="20"/>
  </r>
  <r>
    <x v="293"/>
    <x v="151"/>
    <x v="2"/>
    <s v="Mercy"/>
    <s v="Mouse"/>
    <x v="3"/>
    <n v="7"/>
    <n v="1080"/>
    <n v="550"/>
    <n v="7560"/>
    <n v="3850"/>
    <n v="3710"/>
    <x v="28"/>
  </r>
  <r>
    <x v="294"/>
    <x v="152"/>
    <x v="0"/>
    <s v="Brian"/>
    <s v="Mouse"/>
    <x v="3"/>
    <n v="1"/>
    <n v="1260"/>
    <n v="550"/>
    <n v="1260"/>
    <n v="550"/>
    <n v="710"/>
    <x v="6"/>
  </r>
  <r>
    <x v="295"/>
    <x v="152"/>
    <x v="1"/>
    <s v="Peter"/>
    <s v="Mouse"/>
    <x v="3"/>
    <n v="1"/>
    <n v="1200"/>
    <n v="550"/>
    <n v="1200"/>
    <n v="550"/>
    <n v="650"/>
    <x v="5"/>
  </r>
  <r>
    <x v="296"/>
    <x v="153"/>
    <x v="3"/>
    <s v="Kevin"/>
    <s v="Keyboard"/>
    <x v="3"/>
    <n v="2"/>
    <n v="2500"/>
    <n v="1300"/>
    <n v="5000"/>
    <n v="2600"/>
    <n v="2400"/>
    <x v="7"/>
  </r>
  <r>
    <x v="297"/>
    <x v="154"/>
    <x v="3"/>
    <s v="Brian"/>
    <s v="Mouse"/>
    <x v="3"/>
    <n v="7"/>
    <n v="1200"/>
    <n v="550"/>
    <n v="8400"/>
    <n v="3850"/>
    <n v="4550"/>
    <x v="5"/>
  </r>
  <r>
    <x v="298"/>
    <x v="155"/>
    <x v="1"/>
    <s v="Kevin"/>
    <s v="Mouse"/>
    <x v="3"/>
    <n v="7"/>
    <n v="1200"/>
    <n v="550"/>
    <n v="8400"/>
    <n v="3850"/>
    <n v="4550"/>
    <x v="5"/>
  </r>
  <r>
    <x v="299"/>
    <x v="156"/>
    <x v="1"/>
    <s v="Brian"/>
    <s v="Monitor"/>
    <x v="2"/>
    <n v="7"/>
    <n v="18000"/>
    <n v="13500"/>
    <n v="126000"/>
    <n v="94500"/>
    <n v="31500"/>
    <x v="2"/>
  </r>
  <r>
    <x v="300"/>
    <x v="156"/>
    <x v="3"/>
    <s v="Peter"/>
    <s v="Office Chair"/>
    <x v="0"/>
    <n v="8"/>
    <n v="12500"/>
    <n v="8500"/>
    <n v="100000"/>
    <n v="68000"/>
    <n v="32000"/>
    <x v="8"/>
  </r>
  <r>
    <x v="301"/>
    <x v="157"/>
    <x v="1"/>
    <s v="Kevin"/>
    <s v="Office Chair"/>
    <x v="0"/>
    <n v="6"/>
    <n v="12500"/>
    <n v="8500"/>
    <n v="75000"/>
    <n v="51000"/>
    <n v="24000"/>
    <x v="8"/>
  </r>
  <r>
    <x v="302"/>
    <x v="158"/>
    <x v="1"/>
    <s v="Brian"/>
    <s v="Mouse"/>
    <x v="3"/>
    <n v="3"/>
    <n v="1260"/>
    <n v="550"/>
    <n v="3780"/>
    <n v="1650"/>
    <n v="2130"/>
    <x v="6"/>
  </r>
  <r>
    <x v="303"/>
    <x v="158"/>
    <x v="1"/>
    <s v="Faith"/>
    <s v="Laptop"/>
    <x v="2"/>
    <n v="6"/>
    <n v="58500"/>
    <n v="52000"/>
    <n v="351000"/>
    <n v="312000"/>
    <n v="39000"/>
    <x v="33"/>
  </r>
  <r>
    <x v="304"/>
    <x v="159"/>
    <x v="1"/>
    <s v="Faith"/>
    <s v="Notebook Pack"/>
    <x v="1"/>
    <n v="4"/>
    <n v="450"/>
    <n v="230"/>
    <n v="1800"/>
    <n v="920"/>
    <n v="880"/>
    <x v="1"/>
  </r>
  <r>
    <x v="305"/>
    <x v="159"/>
    <x v="4"/>
    <s v="Faith"/>
    <s v="Laptop"/>
    <x v="2"/>
    <n v="8"/>
    <n v="68250"/>
    <n v="52000"/>
    <n v="546000"/>
    <n v="416000"/>
    <n v="130000"/>
    <x v="20"/>
  </r>
  <r>
    <x v="306"/>
    <x v="160"/>
    <x v="0"/>
    <s v="Mercy"/>
    <s v="Laptop"/>
    <x v="2"/>
    <n v="5"/>
    <n v="65000"/>
    <n v="52000"/>
    <n v="325000"/>
    <n v="260000"/>
    <n v="65000"/>
    <x v="18"/>
  </r>
  <r>
    <x v="307"/>
    <x v="161"/>
    <x v="1"/>
    <s v="Faith"/>
    <s v="USB Drive"/>
    <x v="3"/>
    <n v="2"/>
    <n v="945"/>
    <n v="400"/>
    <n v="1890"/>
    <n v="800"/>
    <n v="1090"/>
    <x v="21"/>
  </r>
  <r>
    <x v="308"/>
    <x v="162"/>
    <x v="3"/>
    <s v="Amina"/>
    <s v="Headphones"/>
    <x v="2"/>
    <n v="8"/>
    <n v="4500"/>
    <n v="2800"/>
    <n v="36000"/>
    <n v="22400"/>
    <n v="13600"/>
    <x v="3"/>
  </r>
  <r>
    <x v="309"/>
    <x v="163"/>
    <x v="3"/>
    <s v="Faith"/>
    <s v="Desk"/>
    <x v="0"/>
    <n v="3"/>
    <n v="22000"/>
    <n v="15500"/>
    <n v="66000"/>
    <n v="46500"/>
    <n v="19500"/>
    <x v="0"/>
  </r>
  <r>
    <x v="310"/>
    <x v="164"/>
    <x v="1"/>
    <s v="Faith"/>
    <s v="Mouse"/>
    <x v="3"/>
    <n v="7"/>
    <n v="1320"/>
    <n v="550"/>
    <n v="9240"/>
    <n v="3850"/>
    <n v="5390"/>
    <x v="23"/>
  </r>
  <r>
    <x v="311"/>
    <x v="164"/>
    <x v="1"/>
    <s v="Faith"/>
    <s v="Monitor"/>
    <x v="2"/>
    <n v="1"/>
    <n v="18000"/>
    <n v="13500"/>
    <n v="18000"/>
    <n v="13500"/>
    <n v="4500"/>
    <x v="2"/>
  </r>
  <r>
    <x v="312"/>
    <x v="165"/>
    <x v="0"/>
    <s v="Peter"/>
    <s v="Keyboard"/>
    <x v="3"/>
    <n v="7"/>
    <n v="2500"/>
    <n v="1300"/>
    <n v="17500"/>
    <n v="9100"/>
    <n v="8400"/>
    <x v="7"/>
  </r>
  <r>
    <x v="313"/>
    <x v="165"/>
    <x v="4"/>
    <s v="Brian"/>
    <s v="Mouse"/>
    <x v="3"/>
    <n v="5"/>
    <n v="1200"/>
    <n v="550"/>
    <n v="6000"/>
    <n v="2750"/>
    <n v="3250"/>
    <x v="5"/>
  </r>
  <r>
    <x v="314"/>
    <x v="166"/>
    <x v="3"/>
    <s v="Mercy"/>
    <s v="Keyboard"/>
    <x v="3"/>
    <n v="7"/>
    <n v="2500"/>
    <n v="1300"/>
    <n v="17500"/>
    <n v="9100"/>
    <n v="8400"/>
    <x v="7"/>
  </r>
  <r>
    <x v="315"/>
    <x v="166"/>
    <x v="1"/>
    <s v="Peter"/>
    <s v="Laptop"/>
    <x v="2"/>
    <n v="8"/>
    <n v="65000"/>
    <n v="52000"/>
    <n v="520000"/>
    <n v="416000"/>
    <n v="104000"/>
    <x v="18"/>
  </r>
  <r>
    <x v="316"/>
    <x v="166"/>
    <x v="2"/>
    <s v="Amina"/>
    <s v="Monitor"/>
    <x v="2"/>
    <n v="7"/>
    <n v="18000"/>
    <n v="13500"/>
    <n v="126000"/>
    <n v="94500"/>
    <n v="31500"/>
    <x v="2"/>
  </r>
  <r>
    <x v="317"/>
    <x v="166"/>
    <x v="1"/>
    <s v="Amina"/>
    <s v="Keyboard"/>
    <x v="3"/>
    <n v="2"/>
    <n v="2500"/>
    <n v="1300"/>
    <n v="5000"/>
    <n v="2600"/>
    <n v="2400"/>
    <x v="7"/>
  </r>
  <r>
    <x v="318"/>
    <x v="167"/>
    <x v="4"/>
    <s v="Brian"/>
    <s v="Laptop"/>
    <x v="2"/>
    <n v="8"/>
    <n v="65000"/>
    <n v="52000"/>
    <n v="520000"/>
    <n v="416000"/>
    <n v="104000"/>
    <x v="18"/>
  </r>
  <r>
    <x v="319"/>
    <x v="168"/>
    <x v="3"/>
    <s v="Brian"/>
    <s v="Desk"/>
    <x v="0"/>
    <n v="2"/>
    <n v="22000"/>
    <n v="15500"/>
    <n v="44000"/>
    <n v="31000"/>
    <n v="13000"/>
    <x v="0"/>
  </r>
  <r>
    <x v="320"/>
    <x v="169"/>
    <x v="0"/>
    <s v="Kevin"/>
    <s v="USB Drive"/>
    <x v="3"/>
    <n v="7"/>
    <n v="900"/>
    <n v="400"/>
    <n v="6300"/>
    <n v="2800"/>
    <n v="3500"/>
    <x v="14"/>
  </r>
  <r>
    <x v="321"/>
    <x v="170"/>
    <x v="1"/>
    <s v="Faith"/>
    <s v="Mouse"/>
    <x v="3"/>
    <n v="2"/>
    <n v="1080"/>
    <n v="550"/>
    <n v="2160"/>
    <n v="1100"/>
    <n v="1060"/>
    <x v="28"/>
  </r>
  <r>
    <x v="322"/>
    <x v="170"/>
    <x v="4"/>
    <s v="Kevin"/>
    <s v="Laptop"/>
    <x v="2"/>
    <n v="4"/>
    <n v="65000"/>
    <n v="52000"/>
    <n v="260000"/>
    <n v="208000"/>
    <n v="52000"/>
    <x v="18"/>
  </r>
  <r>
    <x v="323"/>
    <x v="171"/>
    <x v="4"/>
    <s v="Brian"/>
    <s v="Monitor"/>
    <x v="2"/>
    <n v="4"/>
    <n v="18000"/>
    <n v="13500"/>
    <n v="72000"/>
    <n v="54000"/>
    <n v="18000"/>
    <x v="2"/>
  </r>
  <r>
    <x v="324"/>
    <x v="172"/>
    <x v="3"/>
    <s v="Peter"/>
    <s v="Monitor"/>
    <x v="2"/>
    <n v="7"/>
    <n v="18000"/>
    <n v="13500"/>
    <n v="126000"/>
    <n v="94500"/>
    <n v="31500"/>
    <x v="2"/>
  </r>
  <r>
    <x v="325"/>
    <x v="172"/>
    <x v="3"/>
    <s v="Amina"/>
    <s v="Notebook Pack"/>
    <x v="1"/>
    <n v="4"/>
    <n v="495"/>
    <n v="230"/>
    <n v="1980"/>
    <n v="920"/>
    <n v="1060"/>
    <x v="15"/>
  </r>
  <r>
    <x v="326"/>
    <x v="172"/>
    <x v="1"/>
    <s v="Mercy"/>
    <s v="USB Drive"/>
    <x v="3"/>
    <n v="2"/>
    <n v="945"/>
    <n v="400"/>
    <n v="1890"/>
    <n v="800"/>
    <n v="1090"/>
    <x v="21"/>
  </r>
  <r>
    <x v="327"/>
    <x v="172"/>
    <x v="3"/>
    <s v="Kevin"/>
    <s v="Laptop"/>
    <x v="2"/>
    <n v="6"/>
    <n v="65000"/>
    <n v="52000"/>
    <n v="390000"/>
    <n v="312000"/>
    <n v="78000"/>
    <x v="18"/>
  </r>
  <r>
    <x v="328"/>
    <x v="173"/>
    <x v="1"/>
    <s v="Faith"/>
    <s v="Monitor"/>
    <x v="2"/>
    <n v="1"/>
    <n v="16200"/>
    <n v="13500"/>
    <n v="16200"/>
    <n v="13500"/>
    <n v="2700"/>
    <x v="37"/>
  </r>
  <r>
    <x v="329"/>
    <x v="173"/>
    <x v="2"/>
    <s v="Brian"/>
    <s v="USB Drive"/>
    <x v="3"/>
    <n v="4"/>
    <n v="900"/>
    <n v="400"/>
    <n v="3600"/>
    <n v="1600"/>
    <n v="2000"/>
    <x v="14"/>
  </r>
  <r>
    <x v="330"/>
    <x v="173"/>
    <x v="1"/>
    <s v="Peter"/>
    <s v="Notebook Pack"/>
    <x v="1"/>
    <n v="5"/>
    <n v="450"/>
    <n v="230"/>
    <n v="2250"/>
    <n v="1150"/>
    <n v="1100"/>
    <x v="1"/>
  </r>
  <r>
    <x v="331"/>
    <x v="173"/>
    <x v="1"/>
    <s v="Faith"/>
    <s v="Mouse"/>
    <x v="3"/>
    <n v="7"/>
    <n v="1260"/>
    <n v="550"/>
    <n v="8820"/>
    <n v="3850"/>
    <n v="4970"/>
    <x v="6"/>
  </r>
  <r>
    <x v="332"/>
    <x v="174"/>
    <x v="4"/>
    <s v="Mercy"/>
    <s v="Laptop"/>
    <x v="2"/>
    <n v="7"/>
    <n v="65000"/>
    <n v="52000"/>
    <n v="455000"/>
    <n v="364000"/>
    <n v="91000"/>
    <x v="18"/>
  </r>
  <r>
    <x v="333"/>
    <x v="174"/>
    <x v="1"/>
    <s v="Mercy"/>
    <s v="Laptop"/>
    <x v="2"/>
    <n v="8"/>
    <n v="65000"/>
    <n v="52000"/>
    <n v="520000"/>
    <n v="416000"/>
    <n v="104000"/>
    <x v="18"/>
  </r>
  <r>
    <x v="334"/>
    <x v="175"/>
    <x v="1"/>
    <s v="Faith"/>
    <s v="Printer"/>
    <x v="1"/>
    <n v="3"/>
    <n v="24000"/>
    <n v="18500"/>
    <n v="72000"/>
    <n v="55500"/>
    <n v="16500"/>
    <x v="13"/>
  </r>
  <r>
    <x v="335"/>
    <x v="175"/>
    <x v="3"/>
    <s v="Amina"/>
    <s v="Notebook Pack"/>
    <x v="1"/>
    <n v="5"/>
    <n v="450"/>
    <n v="230"/>
    <n v="2250"/>
    <n v="1150"/>
    <n v="1100"/>
    <x v="1"/>
  </r>
  <r>
    <x v="336"/>
    <x v="176"/>
    <x v="2"/>
    <s v="Kevin"/>
    <s v="Mouse"/>
    <x v="3"/>
    <n v="4"/>
    <n v="1260"/>
    <n v="550"/>
    <n v="5040"/>
    <n v="2200"/>
    <n v="2840"/>
    <x v="6"/>
  </r>
  <r>
    <x v="337"/>
    <x v="177"/>
    <x v="1"/>
    <s v="Brian"/>
    <s v="Monitor"/>
    <x v="2"/>
    <n v="6"/>
    <n v="18000"/>
    <n v="13500"/>
    <n v="108000"/>
    <n v="81000"/>
    <n v="27000"/>
    <x v="2"/>
  </r>
  <r>
    <x v="338"/>
    <x v="177"/>
    <x v="3"/>
    <s v="Brian"/>
    <s v="Laptop"/>
    <x v="2"/>
    <n v="5"/>
    <n v="68250"/>
    <n v="52000"/>
    <n v="341250"/>
    <n v="260000"/>
    <n v="81250"/>
    <x v="20"/>
  </r>
  <r>
    <x v="339"/>
    <x v="177"/>
    <x v="2"/>
    <s v="Brian"/>
    <s v="Notebook Pack"/>
    <x v="1"/>
    <n v="1"/>
    <n v="450"/>
    <n v="230"/>
    <n v="450"/>
    <n v="230"/>
    <n v="220"/>
    <x v="1"/>
  </r>
  <r>
    <x v="340"/>
    <x v="178"/>
    <x v="3"/>
    <s v="Brian"/>
    <s v="Mouse"/>
    <x v="3"/>
    <n v="2"/>
    <n v="1200"/>
    <n v="550"/>
    <n v="2400"/>
    <n v="1100"/>
    <n v="1300"/>
    <x v="5"/>
  </r>
  <r>
    <x v="341"/>
    <x v="178"/>
    <x v="0"/>
    <s v="Kevin"/>
    <s v="Printer"/>
    <x v="1"/>
    <n v="6"/>
    <n v="24000"/>
    <n v="18500"/>
    <n v="144000"/>
    <n v="111000"/>
    <n v="33000"/>
    <x v="13"/>
  </r>
  <r>
    <x v="342"/>
    <x v="178"/>
    <x v="4"/>
    <s v="Peter"/>
    <s v="Notebook Pack"/>
    <x v="1"/>
    <n v="1"/>
    <n v="450"/>
    <n v="230"/>
    <n v="450"/>
    <n v="230"/>
    <n v="220"/>
    <x v="1"/>
  </r>
  <r>
    <x v="343"/>
    <x v="179"/>
    <x v="3"/>
    <s v="Amina"/>
    <s v="Mouse"/>
    <x v="3"/>
    <n v="3"/>
    <n v="1200"/>
    <n v="550"/>
    <n v="3600"/>
    <n v="1650"/>
    <n v="1950"/>
    <x v="5"/>
  </r>
  <r>
    <x v="344"/>
    <x v="180"/>
    <x v="2"/>
    <s v="Amina"/>
    <s v="Notebook Pack"/>
    <x v="1"/>
    <n v="1"/>
    <n v="450"/>
    <n v="230"/>
    <n v="450"/>
    <n v="230"/>
    <n v="220"/>
    <x v="1"/>
  </r>
  <r>
    <x v="345"/>
    <x v="181"/>
    <x v="1"/>
    <s v="Peter"/>
    <s v="USB Drive"/>
    <x v="3"/>
    <n v="7"/>
    <n v="810"/>
    <n v="400"/>
    <n v="5670"/>
    <n v="2800"/>
    <n v="2870"/>
    <x v="22"/>
  </r>
  <r>
    <x v="346"/>
    <x v="181"/>
    <x v="0"/>
    <s v="Faith"/>
    <s v="Notebook Pack"/>
    <x v="1"/>
    <n v="3"/>
    <n v="450"/>
    <n v="230"/>
    <n v="1350"/>
    <n v="690"/>
    <n v="660"/>
    <x v="1"/>
  </r>
  <r>
    <x v="347"/>
    <x v="181"/>
    <x v="1"/>
    <s v="Peter"/>
    <s v="Notebook Pack"/>
    <x v="1"/>
    <n v="2"/>
    <n v="472.5"/>
    <n v="230"/>
    <n v="945"/>
    <n v="460"/>
    <n v="485"/>
    <x v="35"/>
  </r>
  <r>
    <x v="348"/>
    <x v="182"/>
    <x v="2"/>
    <s v="Faith"/>
    <s v="Headphones"/>
    <x v="2"/>
    <n v="6"/>
    <n v="4500"/>
    <n v="2800"/>
    <n v="27000"/>
    <n v="16800"/>
    <n v="10200"/>
    <x v="3"/>
  </r>
  <r>
    <x v="349"/>
    <x v="182"/>
    <x v="1"/>
    <s v="Peter"/>
    <s v="Monitor"/>
    <x v="2"/>
    <n v="1"/>
    <n v="18000"/>
    <n v="13500"/>
    <n v="18000"/>
    <n v="13500"/>
    <n v="4500"/>
    <x v="2"/>
  </r>
  <r>
    <x v="350"/>
    <x v="182"/>
    <x v="0"/>
    <s v="Kevin"/>
    <s v="Keyboard"/>
    <x v="3"/>
    <n v="3"/>
    <n v="2500"/>
    <n v="1300"/>
    <n v="7500"/>
    <n v="3900"/>
    <n v="3600"/>
    <x v="7"/>
  </r>
  <r>
    <x v="351"/>
    <x v="183"/>
    <x v="4"/>
    <s v="Mercy"/>
    <s v="Laptop"/>
    <x v="2"/>
    <n v="3"/>
    <n v="65000"/>
    <n v="52000"/>
    <n v="195000"/>
    <n v="156000"/>
    <n v="39000"/>
    <x v="18"/>
  </r>
  <r>
    <x v="352"/>
    <x v="184"/>
    <x v="3"/>
    <s v="Peter"/>
    <s v="Mouse"/>
    <x v="3"/>
    <n v="8"/>
    <n v="1200"/>
    <n v="550"/>
    <n v="9600"/>
    <n v="4400"/>
    <n v="5200"/>
    <x v="5"/>
  </r>
  <r>
    <x v="353"/>
    <x v="185"/>
    <x v="3"/>
    <s v="Peter"/>
    <s v="Headphones"/>
    <x v="2"/>
    <n v="1"/>
    <n v="4500"/>
    <n v="2800"/>
    <n v="4500"/>
    <n v="2800"/>
    <n v="1700"/>
    <x v="3"/>
  </r>
  <r>
    <x v="354"/>
    <x v="185"/>
    <x v="1"/>
    <s v="Kevin"/>
    <s v="Mouse"/>
    <x v="3"/>
    <n v="6"/>
    <n v="1200"/>
    <n v="550"/>
    <n v="7200"/>
    <n v="3300"/>
    <n v="3900"/>
    <x v="5"/>
  </r>
  <r>
    <x v="355"/>
    <x v="185"/>
    <x v="4"/>
    <s v="Faith"/>
    <s v="Desk"/>
    <x v="0"/>
    <n v="3"/>
    <n v="22000"/>
    <n v="15500"/>
    <n v="66000"/>
    <n v="46500"/>
    <n v="19500"/>
    <x v="0"/>
  </r>
  <r>
    <x v="356"/>
    <x v="185"/>
    <x v="3"/>
    <s v="Peter"/>
    <s v="Notebook Pack"/>
    <x v="1"/>
    <n v="2"/>
    <n v="450"/>
    <n v="230"/>
    <n v="900"/>
    <n v="460"/>
    <n v="440"/>
    <x v="1"/>
  </r>
  <r>
    <x v="357"/>
    <x v="186"/>
    <x v="3"/>
    <s v="Faith"/>
    <s v="Office Chair"/>
    <x v="0"/>
    <n v="6"/>
    <n v="13125"/>
    <n v="8500"/>
    <n v="78750"/>
    <n v="51000"/>
    <n v="27750"/>
    <x v="34"/>
  </r>
  <r>
    <x v="358"/>
    <x v="186"/>
    <x v="0"/>
    <s v="Faith"/>
    <s v="Mouse"/>
    <x v="3"/>
    <n v="8"/>
    <n v="1260"/>
    <n v="550"/>
    <n v="10080"/>
    <n v="4400"/>
    <n v="5680"/>
    <x v="6"/>
  </r>
  <r>
    <x v="359"/>
    <x v="187"/>
    <x v="0"/>
    <s v="Mercy"/>
    <s v="Notebook Pack"/>
    <x v="1"/>
    <n v="6"/>
    <n v="450"/>
    <n v="230"/>
    <n v="2700"/>
    <n v="1380"/>
    <n v="1320"/>
    <x v="1"/>
  </r>
  <r>
    <x v="360"/>
    <x v="187"/>
    <x v="1"/>
    <s v="Faith"/>
    <s v="Monitor"/>
    <x v="2"/>
    <n v="6"/>
    <n v="18000"/>
    <n v="13500"/>
    <n v="108000"/>
    <n v="81000"/>
    <n v="27000"/>
    <x v="2"/>
  </r>
  <r>
    <x v="361"/>
    <x v="188"/>
    <x v="1"/>
    <s v="Peter"/>
    <s v="Mouse"/>
    <x v="3"/>
    <n v="1"/>
    <n v="1200"/>
    <n v="550"/>
    <n v="1200"/>
    <n v="550"/>
    <n v="650"/>
    <x v="5"/>
  </r>
  <r>
    <x v="362"/>
    <x v="189"/>
    <x v="3"/>
    <s v="Brian"/>
    <s v="Monitor"/>
    <x v="2"/>
    <n v="3"/>
    <n v="18000"/>
    <n v="13500"/>
    <n v="54000"/>
    <n v="40500"/>
    <n v="13500"/>
    <x v="2"/>
  </r>
  <r>
    <x v="363"/>
    <x v="190"/>
    <x v="0"/>
    <s v="Brian"/>
    <s v="USB Drive"/>
    <x v="3"/>
    <n v="6"/>
    <n v="900"/>
    <n v="400"/>
    <n v="5400"/>
    <n v="2400"/>
    <n v="3000"/>
    <x v="14"/>
  </r>
  <r>
    <x v="364"/>
    <x v="191"/>
    <x v="0"/>
    <s v="Kevin"/>
    <s v="Mouse"/>
    <x v="3"/>
    <n v="8"/>
    <n v="1200"/>
    <n v="550"/>
    <n v="9600"/>
    <n v="4400"/>
    <n v="5200"/>
    <x v="5"/>
  </r>
  <r>
    <x v="365"/>
    <x v="191"/>
    <x v="1"/>
    <s v="Kevin"/>
    <s v="Notebook Pack"/>
    <x v="1"/>
    <n v="6"/>
    <n v="450"/>
    <n v="230"/>
    <n v="2700"/>
    <n v="1380"/>
    <n v="1320"/>
    <x v="1"/>
  </r>
  <r>
    <x v="366"/>
    <x v="191"/>
    <x v="1"/>
    <s v="Faith"/>
    <s v="Monitor"/>
    <x v="2"/>
    <n v="1"/>
    <n v="19800"/>
    <n v="13500"/>
    <n v="19800"/>
    <n v="13500"/>
    <n v="6300"/>
    <x v="27"/>
  </r>
  <r>
    <x v="367"/>
    <x v="192"/>
    <x v="0"/>
    <s v="Brian"/>
    <s v="Monitor"/>
    <x v="2"/>
    <n v="4"/>
    <n v="18000"/>
    <n v="13500"/>
    <n v="72000"/>
    <n v="54000"/>
    <n v="18000"/>
    <x v="2"/>
  </r>
  <r>
    <x v="368"/>
    <x v="192"/>
    <x v="0"/>
    <s v="Mercy"/>
    <s v="Keyboard"/>
    <x v="3"/>
    <n v="3"/>
    <n v="2750"/>
    <n v="1300"/>
    <n v="8250"/>
    <n v="3900"/>
    <n v="4350"/>
    <x v="29"/>
  </r>
  <r>
    <x v="369"/>
    <x v="193"/>
    <x v="2"/>
    <s v="Kevin"/>
    <s v="Notebook Pack"/>
    <x v="1"/>
    <n v="3"/>
    <n v="450"/>
    <n v="230"/>
    <n v="1350"/>
    <n v="690"/>
    <n v="660"/>
    <x v="1"/>
  </r>
  <r>
    <x v="370"/>
    <x v="193"/>
    <x v="3"/>
    <s v="Brian"/>
    <s v="Desk"/>
    <x v="0"/>
    <n v="5"/>
    <n v="19800"/>
    <n v="15500"/>
    <n v="99000"/>
    <n v="77500"/>
    <n v="21500"/>
    <x v="31"/>
  </r>
  <r>
    <x v="371"/>
    <x v="194"/>
    <x v="1"/>
    <s v="Peter"/>
    <s v="USB Drive"/>
    <x v="3"/>
    <n v="6"/>
    <n v="900"/>
    <n v="400"/>
    <n v="5400"/>
    <n v="2400"/>
    <n v="3000"/>
    <x v="14"/>
  </r>
  <r>
    <x v="372"/>
    <x v="194"/>
    <x v="1"/>
    <s v="Faith"/>
    <s v="Keyboard"/>
    <x v="3"/>
    <n v="3"/>
    <n v="2500"/>
    <n v="1300"/>
    <n v="7500"/>
    <n v="3900"/>
    <n v="3600"/>
    <x v="7"/>
  </r>
  <r>
    <x v="373"/>
    <x v="195"/>
    <x v="3"/>
    <s v="Kevin"/>
    <s v="Office Chair"/>
    <x v="0"/>
    <n v="6"/>
    <n v="12500"/>
    <n v="8500"/>
    <n v="75000"/>
    <n v="51000"/>
    <n v="24000"/>
    <x v="8"/>
  </r>
  <r>
    <x v="374"/>
    <x v="195"/>
    <x v="1"/>
    <s v="Brian"/>
    <s v="Monitor"/>
    <x v="2"/>
    <n v="8"/>
    <n v="18000"/>
    <n v="13500"/>
    <n v="144000"/>
    <n v="108000"/>
    <n v="36000"/>
    <x v="2"/>
  </r>
  <r>
    <x v="375"/>
    <x v="196"/>
    <x v="3"/>
    <s v="Brian"/>
    <s v="Headphones"/>
    <x v="2"/>
    <n v="3"/>
    <n v="4500"/>
    <n v="2800"/>
    <n v="13500"/>
    <n v="8400"/>
    <n v="5100"/>
    <x v="3"/>
  </r>
  <r>
    <x v="376"/>
    <x v="197"/>
    <x v="3"/>
    <s v="Amina"/>
    <s v="Keyboard"/>
    <x v="3"/>
    <n v="8"/>
    <n v="2500"/>
    <n v="1300"/>
    <n v="20000"/>
    <n v="10400"/>
    <n v="9600"/>
    <x v="7"/>
  </r>
  <r>
    <x v="377"/>
    <x v="197"/>
    <x v="4"/>
    <s v="Brian"/>
    <s v="Laptop"/>
    <x v="2"/>
    <n v="3"/>
    <n v="65000"/>
    <n v="52000"/>
    <n v="195000"/>
    <n v="156000"/>
    <n v="39000"/>
    <x v="18"/>
  </r>
  <r>
    <x v="378"/>
    <x v="197"/>
    <x v="4"/>
    <s v="Brian"/>
    <s v="Laptop"/>
    <x v="2"/>
    <n v="2"/>
    <n v="65000"/>
    <n v="52000"/>
    <n v="130000"/>
    <n v="104000"/>
    <n v="26000"/>
    <x v="18"/>
  </r>
  <r>
    <x v="379"/>
    <x v="198"/>
    <x v="1"/>
    <s v="Peter"/>
    <s v="Laptop"/>
    <x v="2"/>
    <n v="2"/>
    <n v="65000"/>
    <n v="52000"/>
    <n v="130000"/>
    <n v="104000"/>
    <n v="26000"/>
    <x v="18"/>
  </r>
  <r>
    <x v="380"/>
    <x v="198"/>
    <x v="3"/>
    <s v="Kevin"/>
    <s v="Office Chair"/>
    <x v="0"/>
    <n v="3"/>
    <n v="13125"/>
    <n v="8500"/>
    <n v="39375"/>
    <n v="25500"/>
    <n v="13875"/>
    <x v="34"/>
  </r>
  <r>
    <x v="381"/>
    <x v="199"/>
    <x v="3"/>
    <s v="Brian"/>
    <s v="USB Drive"/>
    <x v="3"/>
    <n v="3"/>
    <n v="900"/>
    <n v="400"/>
    <n v="2700"/>
    <n v="1200"/>
    <n v="1500"/>
    <x v="14"/>
  </r>
  <r>
    <x v="382"/>
    <x v="200"/>
    <x v="1"/>
    <s v="Faith"/>
    <s v="Laptop"/>
    <x v="2"/>
    <n v="4"/>
    <n v="65000"/>
    <n v="52000"/>
    <n v="260000"/>
    <n v="208000"/>
    <n v="52000"/>
    <x v="18"/>
  </r>
  <r>
    <x v="383"/>
    <x v="200"/>
    <x v="3"/>
    <s v="Amina"/>
    <s v="Keyboard"/>
    <x v="3"/>
    <n v="2"/>
    <n v="2500"/>
    <n v="1300"/>
    <n v="5000"/>
    <n v="2600"/>
    <n v="2400"/>
    <x v="7"/>
  </r>
  <r>
    <x v="384"/>
    <x v="200"/>
    <x v="2"/>
    <s v="Brian"/>
    <s v="USB Drive"/>
    <x v="3"/>
    <n v="3"/>
    <n v="900"/>
    <n v="400"/>
    <n v="2700"/>
    <n v="1200"/>
    <n v="1500"/>
    <x v="14"/>
  </r>
  <r>
    <x v="385"/>
    <x v="201"/>
    <x v="1"/>
    <s v="Faith"/>
    <s v="Mouse"/>
    <x v="3"/>
    <n v="7"/>
    <n v="1200"/>
    <n v="550"/>
    <n v="8400"/>
    <n v="3850"/>
    <n v="4550"/>
    <x v="5"/>
  </r>
  <r>
    <x v="386"/>
    <x v="201"/>
    <x v="4"/>
    <s v="Mercy"/>
    <s v="USB Drive"/>
    <x v="3"/>
    <n v="5"/>
    <n v="990"/>
    <n v="400"/>
    <n v="4950"/>
    <n v="2000"/>
    <n v="2950"/>
    <x v="38"/>
  </r>
  <r>
    <x v="387"/>
    <x v="202"/>
    <x v="3"/>
    <s v="Peter"/>
    <s v="Mouse"/>
    <x v="3"/>
    <n v="7"/>
    <n v="1080"/>
    <n v="550"/>
    <n v="7560"/>
    <n v="3850"/>
    <n v="3710"/>
    <x v="28"/>
  </r>
  <r>
    <x v="388"/>
    <x v="202"/>
    <x v="4"/>
    <s v="Amina"/>
    <s v="USB Drive"/>
    <x v="3"/>
    <n v="6"/>
    <n v="900"/>
    <n v="400"/>
    <n v="5400"/>
    <n v="2400"/>
    <n v="3000"/>
    <x v="14"/>
  </r>
  <r>
    <x v="389"/>
    <x v="203"/>
    <x v="1"/>
    <s v="Mercy"/>
    <s v="Keyboard"/>
    <x v="3"/>
    <n v="8"/>
    <n v="2625"/>
    <n v="1300"/>
    <n v="21000"/>
    <n v="10400"/>
    <n v="10600"/>
    <x v="9"/>
  </r>
  <r>
    <x v="390"/>
    <x v="204"/>
    <x v="1"/>
    <s v="Peter"/>
    <s v="USB Drive"/>
    <x v="3"/>
    <n v="3"/>
    <n v="900"/>
    <n v="400"/>
    <n v="2700"/>
    <n v="1200"/>
    <n v="1500"/>
    <x v="14"/>
  </r>
  <r>
    <x v="391"/>
    <x v="205"/>
    <x v="2"/>
    <s v="Kevin"/>
    <s v="USB Drive"/>
    <x v="3"/>
    <n v="3"/>
    <n v="900"/>
    <n v="400"/>
    <n v="2700"/>
    <n v="1200"/>
    <n v="1500"/>
    <x v="14"/>
  </r>
  <r>
    <x v="392"/>
    <x v="205"/>
    <x v="3"/>
    <s v="Mercy"/>
    <s v="Notebook Pack"/>
    <x v="1"/>
    <n v="2"/>
    <n v="450"/>
    <n v="230"/>
    <n v="900"/>
    <n v="460"/>
    <n v="440"/>
    <x v="1"/>
  </r>
  <r>
    <x v="393"/>
    <x v="205"/>
    <x v="2"/>
    <s v="Kevin"/>
    <s v="Headphones"/>
    <x v="2"/>
    <n v="6"/>
    <n v="4050"/>
    <n v="2800"/>
    <n v="24300"/>
    <n v="16800"/>
    <n v="7500"/>
    <x v="32"/>
  </r>
  <r>
    <x v="394"/>
    <x v="205"/>
    <x v="3"/>
    <s v="Faith"/>
    <s v="Desk"/>
    <x v="0"/>
    <n v="1"/>
    <n v="23100"/>
    <n v="15500"/>
    <n v="23100"/>
    <n v="15500"/>
    <n v="7600"/>
    <x v="11"/>
  </r>
  <r>
    <x v="395"/>
    <x v="206"/>
    <x v="3"/>
    <s v="Amina"/>
    <s v="Notebook Pack"/>
    <x v="1"/>
    <n v="5"/>
    <n v="450"/>
    <n v="230"/>
    <n v="2250"/>
    <n v="1150"/>
    <n v="1100"/>
    <x v="1"/>
  </r>
  <r>
    <x v="396"/>
    <x v="206"/>
    <x v="1"/>
    <s v="Brian"/>
    <s v="Headphones"/>
    <x v="2"/>
    <n v="1"/>
    <n v="4500"/>
    <n v="2800"/>
    <n v="4500"/>
    <n v="2800"/>
    <n v="1700"/>
    <x v="3"/>
  </r>
  <r>
    <x v="397"/>
    <x v="207"/>
    <x v="4"/>
    <s v="Amina"/>
    <s v="Printer"/>
    <x v="1"/>
    <n v="2"/>
    <n v="24000"/>
    <n v="18500"/>
    <n v="48000"/>
    <n v="37000"/>
    <n v="11000"/>
    <x v="13"/>
  </r>
  <r>
    <x v="398"/>
    <x v="207"/>
    <x v="2"/>
    <s v="Amina"/>
    <s v="Mouse"/>
    <x v="3"/>
    <n v="7"/>
    <n v="1200"/>
    <n v="550"/>
    <n v="8400"/>
    <n v="3850"/>
    <n v="4550"/>
    <x v="5"/>
  </r>
  <r>
    <x v="399"/>
    <x v="207"/>
    <x v="3"/>
    <s v="Faith"/>
    <s v="Mouse"/>
    <x v="3"/>
    <n v="2"/>
    <n v="1200"/>
    <n v="550"/>
    <n v="2400"/>
    <n v="1100"/>
    <n v="1300"/>
    <x v="5"/>
  </r>
  <r>
    <x v="400"/>
    <x v="208"/>
    <x v="2"/>
    <s v="Kevin"/>
    <s v="Monitor"/>
    <x v="2"/>
    <n v="1"/>
    <n v="19800"/>
    <n v="13500"/>
    <n v="19800"/>
    <n v="13500"/>
    <n v="6300"/>
    <x v="27"/>
  </r>
  <r>
    <x v="401"/>
    <x v="208"/>
    <x v="1"/>
    <s v="Brian"/>
    <s v="USB Drive"/>
    <x v="3"/>
    <n v="5"/>
    <n v="810"/>
    <n v="400"/>
    <n v="4050"/>
    <n v="2000"/>
    <n v="2050"/>
    <x v="22"/>
  </r>
  <r>
    <x v="402"/>
    <x v="208"/>
    <x v="1"/>
    <s v="Amina"/>
    <s v="Mouse"/>
    <x v="3"/>
    <n v="2"/>
    <n v="1200"/>
    <n v="550"/>
    <n v="2400"/>
    <n v="1100"/>
    <n v="1300"/>
    <x v="5"/>
  </r>
  <r>
    <x v="403"/>
    <x v="209"/>
    <x v="1"/>
    <s v="Kevin"/>
    <s v="Mouse"/>
    <x v="3"/>
    <n v="3"/>
    <n v="1200"/>
    <n v="550"/>
    <n v="3600"/>
    <n v="1650"/>
    <n v="1950"/>
    <x v="5"/>
  </r>
  <r>
    <x v="404"/>
    <x v="210"/>
    <x v="3"/>
    <s v="Peter"/>
    <s v="USB Drive"/>
    <x v="3"/>
    <n v="5"/>
    <n v="900"/>
    <n v="400"/>
    <n v="4500"/>
    <n v="2000"/>
    <n v="2500"/>
    <x v="14"/>
  </r>
  <r>
    <x v="405"/>
    <x v="210"/>
    <x v="1"/>
    <s v="Amina"/>
    <s v="USB Drive"/>
    <x v="3"/>
    <n v="2"/>
    <n v="900"/>
    <n v="400"/>
    <n v="1800"/>
    <n v="800"/>
    <n v="1000"/>
    <x v="14"/>
  </r>
  <r>
    <x v="406"/>
    <x v="210"/>
    <x v="2"/>
    <s v="Mercy"/>
    <s v="Printer"/>
    <x v="1"/>
    <n v="2"/>
    <n v="24000"/>
    <n v="18500"/>
    <n v="48000"/>
    <n v="37000"/>
    <n v="11000"/>
    <x v="13"/>
  </r>
  <r>
    <x v="407"/>
    <x v="210"/>
    <x v="2"/>
    <s v="Brian"/>
    <s v="USB Drive"/>
    <x v="3"/>
    <n v="2"/>
    <n v="945"/>
    <n v="400"/>
    <n v="1890"/>
    <n v="800"/>
    <n v="1090"/>
    <x v="21"/>
  </r>
  <r>
    <x v="408"/>
    <x v="211"/>
    <x v="0"/>
    <s v="Faith"/>
    <s v="Desk"/>
    <x v="0"/>
    <n v="4"/>
    <n v="22000"/>
    <n v="15500"/>
    <n v="88000"/>
    <n v="62000"/>
    <n v="26000"/>
    <x v="0"/>
  </r>
  <r>
    <x v="409"/>
    <x v="211"/>
    <x v="3"/>
    <s v="Mercy"/>
    <s v="Keyboard"/>
    <x v="3"/>
    <n v="7"/>
    <n v="2500"/>
    <n v="1300"/>
    <n v="17500"/>
    <n v="9100"/>
    <n v="8400"/>
    <x v="7"/>
  </r>
  <r>
    <x v="410"/>
    <x v="211"/>
    <x v="3"/>
    <s v="Kevin"/>
    <s v="USB Drive"/>
    <x v="3"/>
    <n v="1"/>
    <n v="900"/>
    <n v="400"/>
    <n v="900"/>
    <n v="400"/>
    <n v="500"/>
    <x v="14"/>
  </r>
  <r>
    <x v="411"/>
    <x v="211"/>
    <x v="4"/>
    <s v="Kevin"/>
    <s v="Office Chair"/>
    <x v="0"/>
    <n v="7"/>
    <n v="12500"/>
    <n v="8500"/>
    <n v="87500"/>
    <n v="59500"/>
    <n v="28000"/>
    <x v="8"/>
  </r>
  <r>
    <x v="412"/>
    <x v="212"/>
    <x v="0"/>
    <s v="Peter"/>
    <s v="USB Drive"/>
    <x v="3"/>
    <n v="2"/>
    <n v="945"/>
    <n v="400"/>
    <n v="1890"/>
    <n v="800"/>
    <n v="1090"/>
    <x v="21"/>
  </r>
  <r>
    <x v="413"/>
    <x v="213"/>
    <x v="3"/>
    <s v="Amina"/>
    <s v="Monitor"/>
    <x v="2"/>
    <n v="6"/>
    <n v="19800"/>
    <n v="13500"/>
    <n v="118800"/>
    <n v="81000"/>
    <n v="37800"/>
    <x v="27"/>
  </r>
  <r>
    <x v="414"/>
    <x v="213"/>
    <x v="1"/>
    <s v="Amina"/>
    <s v="Office Chair"/>
    <x v="0"/>
    <n v="3"/>
    <n v="11250"/>
    <n v="8500"/>
    <n v="33750"/>
    <n v="25500"/>
    <n v="8250"/>
    <x v="24"/>
  </r>
  <r>
    <x v="415"/>
    <x v="214"/>
    <x v="0"/>
    <s v="Peter"/>
    <s v="Notebook Pack"/>
    <x v="1"/>
    <n v="3"/>
    <n v="472.5"/>
    <n v="230"/>
    <n v="1417.5"/>
    <n v="690"/>
    <n v="727.5"/>
    <x v="35"/>
  </r>
  <r>
    <x v="416"/>
    <x v="215"/>
    <x v="0"/>
    <s v="Faith"/>
    <s v="Office Chair"/>
    <x v="0"/>
    <n v="4"/>
    <n v="12500"/>
    <n v="8500"/>
    <n v="50000"/>
    <n v="34000"/>
    <n v="16000"/>
    <x v="8"/>
  </r>
  <r>
    <x v="417"/>
    <x v="216"/>
    <x v="1"/>
    <s v="Kevin"/>
    <s v="Office Chair"/>
    <x v="0"/>
    <n v="2"/>
    <n v="13750"/>
    <n v="8500"/>
    <n v="27500"/>
    <n v="17000"/>
    <n v="10500"/>
    <x v="36"/>
  </r>
  <r>
    <x v="418"/>
    <x v="217"/>
    <x v="3"/>
    <s v="Brian"/>
    <s v="Notebook Pack"/>
    <x v="1"/>
    <n v="1"/>
    <n v="472.5"/>
    <n v="230"/>
    <n v="472.5"/>
    <n v="230"/>
    <n v="242.5"/>
    <x v="35"/>
  </r>
  <r>
    <x v="419"/>
    <x v="217"/>
    <x v="3"/>
    <s v="Amina"/>
    <s v="Mouse"/>
    <x v="3"/>
    <n v="1"/>
    <n v="1200"/>
    <n v="550"/>
    <n v="1200"/>
    <n v="550"/>
    <n v="650"/>
    <x v="5"/>
  </r>
  <r>
    <x v="420"/>
    <x v="218"/>
    <x v="0"/>
    <s v="Faith"/>
    <s v="Mouse"/>
    <x v="3"/>
    <n v="3"/>
    <n v="1200"/>
    <n v="550"/>
    <n v="3600"/>
    <n v="1650"/>
    <n v="1950"/>
    <x v="5"/>
  </r>
  <r>
    <x v="421"/>
    <x v="218"/>
    <x v="0"/>
    <s v="Brian"/>
    <s v="Mouse"/>
    <x v="3"/>
    <n v="6"/>
    <n v="1200"/>
    <n v="550"/>
    <n v="7200"/>
    <n v="3300"/>
    <n v="3900"/>
    <x v="5"/>
  </r>
  <r>
    <x v="422"/>
    <x v="218"/>
    <x v="4"/>
    <s v="Kevin"/>
    <s v="Mouse"/>
    <x v="3"/>
    <n v="5"/>
    <n v="1200"/>
    <n v="550"/>
    <n v="6000"/>
    <n v="2750"/>
    <n v="3250"/>
    <x v="5"/>
  </r>
  <r>
    <x v="423"/>
    <x v="219"/>
    <x v="2"/>
    <s v="Faith"/>
    <s v="Monitor"/>
    <x v="2"/>
    <n v="1"/>
    <n v="18900"/>
    <n v="13500"/>
    <n v="18900"/>
    <n v="13500"/>
    <n v="5400"/>
    <x v="4"/>
  </r>
  <r>
    <x v="424"/>
    <x v="219"/>
    <x v="2"/>
    <s v="Kevin"/>
    <s v="Office Chair"/>
    <x v="0"/>
    <n v="3"/>
    <n v="12500"/>
    <n v="8500"/>
    <n v="37500"/>
    <n v="25500"/>
    <n v="12000"/>
    <x v="8"/>
  </r>
  <r>
    <x v="425"/>
    <x v="219"/>
    <x v="3"/>
    <s v="Amina"/>
    <s v="USB Drive"/>
    <x v="3"/>
    <n v="1"/>
    <n v="900"/>
    <n v="400"/>
    <n v="900"/>
    <n v="400"/>
    <n v="500"/>
    <x v="14"/>
  </r>
  <r>
    <x v="426"/>
    <x v="219"/>
    <x v="1"/>
    <s v="Peter"/>
    <s v="Mouse"/>
    <x v="3"/>
    <n v="6"/>
    <n v="1200"/>
    <n v="550"/>
    <n v="7200"/>
    <n v="3300"/>
    <n v="3900"/>
    <x v="5"/>
  </r>
  <r>
    <x v="427"/>
    <x v="220"/>
    <x v="1"/>
    <s v="Brian"/>
    <s v="Printer"/>
    <x v="1"/>
    <n v="4"/>
    <n v="24000"/>
    <n v="18500"/>
    <n v="96000"/>
    <n v="74000"/>
    <n v="22000"/>
    <x v="13"/>
  </r>
  <r>
    <x v="428"/>
    <x v="220"/>
    <x v="2"/>
    <s v="Kevin"/>
    <s v="Keyboard"/>
    <x v="3"/>
    <n v="4"/>
    <n v="2625"/>
    <n v="1300"/>
    <n v="10500"/>
    <n v="5200"/>
    <n v="5300"/>
    <x v="9"/>
  </r>
  <r>
    <x v="429"/>
    <x v="221"/>
    <x v="3"/>
    <s v="Amina"/>
    <s v="Monitor"/>
    <x v="2"/>
    <n v="3"/>
    <n v="18000"/>
    <n v="13500"/>
    <n v="54000"/>
    <n v="40500"/>
    <n v="13500"/>
    <x v="2"/>
  </r>
  <r>
    <x v="430"/>
    <x v="222"/>
    <x v="4"/>
    <s v="Peter"/>
    <s v="Notebook Pack"/>
    <x v="1"/>
    <n v="8"/>
    <n v="450"/>
    <n v="230"/>
    <n v="3600"/>
    <n v="1840"/>
    <n v="1760"/>
    <x v="1"/>
  </r>
  <r>
    <x v="431"/>
    <x v="223"/>
    <x v="1"/>
    <s v="Peter"/>
    <s v="Desk"/>
    <x v="0"/>
    <n v="5"/>
    <n v="22000"/>
    <n v="15500"/>
    <n v="110000"/>
    <n v="77500"/>
    <n v="32500"/>
    <x v="0"/>
  </r>
  <r>
    <x v="432"/>
    <x v="224"/>
    <x v="3"/>
    <s v="Peter"/>
    <s v="Keyboard"/>
    <x v="3"/>
    <n v="3"/>
    <n v="2500"/>
    <n v="1300"/>
    <n v="7500"/>
    <n v="3900"/>
    <n v="3600"/>
    <x v="7"/>
  </r>
  <r>
    <x v="433"/>
    <x v="225"/>
    <x v="2"/>
    <s v="Kevin"/>
    <s v="Desk"/>
    <x v="0"/>
    <n v="2"/>
    <n v="22000"/>
    <n v="15500"/>
    <n v="44000"/>
    <n v="31000"/>
    <n v="13000"/>
    <x v="0"/>
  </r>
  <r>
    <x v="434"/>
    <x v="226"/>
    <x v="0"/>
    <s v="Brian"/>
    <s v="Monitor"/>
    <x v="2"/>
    <n v="6"/>
    <n v="18900"/>
    <n v="13500"/>
    <n v="113400"/>
    <n v="81000"/>
    <n v="32400"/>
    <x v="4"/>
  </r>
  <r>
    <x v="435"/>
    <x v="226"/>
    <x v="4"/>
    <s v="Faith"/>
    <s v="Keyboard"/>
    <x v="3"/>
    <n v="4"/>
    <n v="2625"/>
    <n v="1300"/>
    <n v="10500"/>
    <n v="5200"/>
    <n v="5300"/>
    <x v="9"/>
  </r>
  <r>
    <x v="436"/>
    <x v="226"/>
    <x v="3"/>
    <s v="Mercy"/>
    <s v="Office Chair"/>
    <x v="0"/>
    <n v="5"/>
    <n v="12500"/>
    <n v="8500"/>
    <n v="62500"/>
    <n v="42500"/>
    <n v="20000"/>
    <x v="8"/>
  </r>
  <r>
    <x v="437"/>
    <x v="227"/>
    <x v="1"/>
    <s v="Faith"/>
    <s v="Laptop"/>
    <x v="2"/>
    <n v="1"/>
    <n v="68250"/>
    <n v="52000"/>
    <n v="68250"/>
    <n v="52000"/>
    <n v="16250"/>
    <x v="20"/>
  </r>
  <r>
    <x v="438"/>
    <x v="227"/>
    <x v="2"/>
    <s v="Brian"/>
    <s v="Laptop"/>
    <x v="2"/>
    <n v="2"/>
    <n v="58500"/>
    <n v="52000"/>
    <n v="117000"/>
    <n v="104000"/>
    <n v="13000"/>
    <x v="33"/>
  </r>
  <r>
    <x v="439"/>
    <x v="228"/>
    <x v="1"/>
    <s v="Peter"/>
    <s v="USB Drive"/>
    <x v="3"/>
    <n v="2"/>
    <n v="900"/>
    <n v="400"/>
    <n v="1800"/>
    <n v="800"/>
    <n v="1000"/>
    <x v="14"/>
  </r>
  <r>
    <x v="440"/>
    <x v="229"/>
    <x v="0"/>
    <s v="Amina"/>
    <s v="Headphones"/>
    <x v="2"/>
    <n v="8"/>
    <n v="4500"/>
    <n v="2800"/>
    <n v="36000"/>
    <n v="22400"/>
    <n v="13600"/>
    <x v="3"/>
  </r>
  <r>
    <x v="441"/>
    <x v="230"/>
    <x v="1"/>
    <s v="Peter"/>
    <s v="Mouse"/>
    <x v="3"/>
    <n v="8"/>
    <n v="1200"/>
    <n v="550"/>
    <n v="9600"/>
    <n v="4400"/>
    <n v="5200"/>
    <x v="5"/>
  </r>
  <r>
    <x v="442"/>
    <x v="231"/>
    <x v="3"/>
    <s v="Kevin"/>
    <s v="Notebook Pack"/>
    <x v="1"/>
    <n v="8"/>
    <n v="450"/>
    <n v="230"/>
    <n v="3600"/>
    <n v="1840"/>
    <n v="1760"/>
    <x v="1"/>
  </r>
  <r>
    <x v="443"/>
    <x v="232"/>
    <x v="4"/>
    <s v="Peter"/>
    <s v="Notebook Pack"/>
    <x v="1"/>
    <n v="7"/>
    <n v="450"/>
    <n v="230"/>
    <n v="3150"/>
    <n v="1610"/>
    <n v="1540"/>
    <x v="1"/>
  </r>
  <r>
    <x v="444"/>
    <x v="233"/>
    <x v="2"/>
    <s v="Mercy"/>
    <s v="Monitor"/>
    <x v="2"/>
    <n v="3"/>
    <n v="18000"/>
    <n v="13500"/>
    <n v="54000"/>
    <n v="40500"/>
    <n v="13500"/>
    <x v="2"/>
  </r>
  <r>
    <x v="445"/>
    <x v="233"/>
    <x v="4"/>
    <s v="Kevin"/>
    <s v="Printer"/>
    <x v="1"/>
    <n v="3"/>
    <n v="24000"/>
    <n v="18500"/>
    <n v="72000"/>
    <n v="55500"/>
    <n v="16500"/>
    <x v="13"/>
  </r>
  <r>
    <x v="446"/>
    <x v="233"/>
    <x v="1"/>
    <s v="Kevin"/>
    <s v="Notebook Pack"/>
    <x v="1"/>
    <n v="5"/>
    <n v="472.5"/>
    <n v="230"/>
    <n v="2362.5"/>
    <n v="1150"/>
    <n v="1212.5"/>
    <x v="35"/>
  </r>
  <r>
    <x v="447"/>
    <x v="233"/>
    <x v="4"/>
    <s v="Kevin"/>
    <s v="USB Drive"/>
    <x v="3"/>
    <n v="2"/>
    <n v="900"/>
    <n v="400"/>
    <n v="1800"/>
    <n v="800"/>
    <n v="1000"/>
    <x v="14"/>
  </r>
  <r>
    <x v="448"/>
    <x v="234"/>
    <x v="0"/>
    <s v="Kevin"/>
    <s v="Mouse"/>
    <x v="3"/>
    <n v="3"/>
    <n v="1200"/>
    <n v="550"/>
    <n v="3600"/>
    <n v="1650"/>
    <n v="1950"/>
    <x v="5"/>
  </r>
  <r>
    <x v="449"/>
    <x v="235"/>
    <x v="4"/>
    <s v="Amina"/>
    <s v="USB Drive"/>
    <x v="3"/>
    <n v="6"/>
    <n v="900"/>
    <n v="400"/>
    <n v="5400"/>
    <n v="2400"/>
    <n v="3000"/>
    <x v="14"/>
  </r>
  <r>
    <x v="450"/>
    <x v="235"/>
    <x v="2"/>
    <s v="Brian"/>
    <s v="Monitor"/>
    <x v="2"/>
    <n v="5"/>
    <n v="18000"/>
    <n v="13500"/>
    <n v="90000"/>
    <n v="67500"/>
    <n v="22500"/>
    <x v="2"/>
  </r>
  <r>
    <x v="451"/>
    <x v="236"/>
    <x v="3"/>
    <s v="Amina"/>
    <s v="Monitor"/>
    <x v="2"/>
    <n v="3"/>
    <n v="19800"/>
    <n v="13500"/>
    <n v="59400"/>
    <n v="40500"/>
    <n v="18900"/>
    <x v="27"/>
  </r>
  <r>
    <x v="452"/>
    <x v="237"/>
    <x v="0"/>
    <s v="Mercy"/>
    <s v="Office Chair"/>
    <x v="0"/>
    <n v="3"/>
    <n v="12500"/>
    <n v="8500"/>
    <n v="37500"/>
    <n v="25500"/>
    <n v="12000"/>
    <x v="8"/>
  </r>
  <r>
    <x v="453"/>
    <x v="238"/>
    <x v="4"/>
    <s v="Brian"/>
    <s v="Keyboard"/>
    <x v="3"/>
    <n v="4"/>
    <n v="2500"/>
    <n v="1300"/>
    <n v="10000"/>
    <n v="5200"/>
    <n v="4800"/>
    <x v="7"/>
  </r>
  <r>
    <x v="454"/>
    <x v="238"/>
    <x v="3"/>
    <s v="Brian"/>
    <s v="Mouse"/>
    <x v="3"/>
    <n v="2"/>
    <n v="1200"/>
    <n v="550"/>
    <n v="2400"/>
    <n v="1100"/>
    <n v="1300"/>
    <x v="5"/>
  </r>
  <r>
    <x v="455"/>
    <x v="239"/>
    <x v="1"/>
    <s v="Mercy"/>
    <s v="Keyboard"/>
    <x v="3"/>
    <n v="3"/>
    <n v="2625"/>
    <n v="1300"/>
    <n v="7875"/>
    <n v="3900"/>
    <n v="3975"/>
    <x v="9"/>
  </r>
  <r>
    <x v="456"/>
    <x v="240"/>
    <x v="4"/>
    <s v="Kevin"/>
    <s v="Mouse"/>
    <x v="3"/>
    <n v="4"/>
    <n v="1200"/>
    <n v="550"/>
    <n v="4800"/>
    <n v="2200"/>
    <n v="2600"/>
    <x v="5"/>
  </r>
  <r>
    <x v="457"/>
    <x v="240"/>
    <x v="3"/>
    <s v="Brian"/>
    <s v="Mouse"/>
    <x v="3"/>
    <n v="2"/>
    <n v="1200"/>
    <n v="550"/>
    <n v="2400"/>
    <n v="1100"/>
    <n v="1300"/>
    <x v="5"/>
  </r>
  <r>
    <x v="458"/>
    <x v="241"/>
    <x v="1"/>
    <s v="Kevin"/>
    <s v="Notebook Pack"/>
    <x v="1"/>
    <n v="5"/>
    <n v="450"/>
    <n v="230"/>
    <n v="2250"/>
    <n v="1150"/>
    <n v="1100"/>
    <x v="1"/>
  </r>
  <r>
    <x v="459"/>
    <x v="242"/>
    <x v="0"/>
    <s v="Brian"/>
    <s v="Notebook Pack"/>
    <x v="1"/>
    <n v="5"/>
    <n v="472.5"/>
    <n v="230"/>
    <n v="2362.5"/>
    <n v="1150"/>
    <n v="1212.5"/>
    <x v="35"/>
  </r>
  <r>
    <x v="460"/>
    <x v="242"/>
    <x v="3"/>
    <s v="Faith"/>
    <s v="Keyboard"/>
    <x v="3"/>
    <n v="1"/>
    <n v="2750"/>
    <n v="1300"/>
    <n v="2750"/>
    <n v="1300"/>
    <n v="1450"/>
    <x v="29"/>
  </r>
  <r>
    <x v="461"/>
    <x v="243"/>
    <x v="1"/>
    <s v="Brian"/>
    <s v="Mouse"/>
    <x v="3"/>
    <n v="5"/>
    <n v="1200"/>
    <n v="550"/>
    <n v="6000"/>
    <n v="2750"/>
    <n v="3250"/>
    <x v="5"/>
  </r>
  <r>
    <x v="462"/>
    <x v="243"/>
    <x v="4"/>
    <s v="Kevin"/>
    <s v="USB Drive"/>
    <x v="3"/>
    <n v="4"/>
    <n v="945"/>
    <n v="400"/>
    <n v="3780"/>
    <n v="1600"/>
    <n v="2180"/>
    <x v="21"/>
  </r>
  <r>
    <x v="463"/>
    <x v="243"/>
    <x v="3"/>
    <s v="Kevin"/>
    <s v="USB Drive"/>
    <x v="3"/>
    <n v="6"/>
    <n v="945"/>
    <n v="400"/>
    <n v="5670"/>
    <n v="2400"/>
    <n v="3270"/>
    <x v="21"/>
  </r>
  <r>
    <x v="464"/>
    <x v="243"/>
    <x v="4"/>
    <s v="Kevin"/>
    <s v="Printer"/>
    <x v="1"/>
    <n v="2"/>
    <n v="24000"/>
    <n v="18500"/>
    <n v="48000"/>
    <n v="37000"/>
    <n v="11000"/>
    <x v="13"/>
  </r>
  <r>
    <x v="465"/>
    <x v="244"/>
    <x v="1"/>
    <s v="Brian"/>
    <s v="Keyboard"/>
    <x v="3"/>
    <n v="3"/>
    <n v="2500"/>
    <n v="1300"/>
    <n v="7500"/>
    <n v="3900"/>
    <n v="3600"/>
    <x v="7"/>
  </r>
  <r>
    <x v="466"/>
    <x v="244"/>
    <x v="3"/>
    <s v="Faith"/>
    <s v="Headphones"/>
    <x v="2"/>
    <n v="7"/>
    <n v="4725"/>
    <n v="2800"/>
    <n v="33075"/>
    <n v="19600"/>
    <n v="13475"/>
    <x v="19"/>
  </r>
  <r>
    <x v="467"/>
    <x v="245"/>
    <x v="1"/>
    <s v="Mercy"/>
    <s v="Keyboard"/>
    <x v="3"/>
    <n v="8"/>
    <n v="2500"/>
    <n v="1300"/>
    <n v="20000"/>
    <n v="10400"/>
    <n v="9600"/>
    <x v="7"/>
  </r>
  <r>
    <x v="468"/>
    <x v="245"/>
    <x v="3"/>
    <s v="Kevin"/>
    <s v="Printer"/>
    <x v="1"/>
    <n v="4"/>
    <n v="24000"/>
    <n v="18500"/>
    <n v="96000"/>
    <n v="74000"/>
    <n v="22000"/>
    <x v="13"/>
  </r>
  <r>
    <x v="469"/>
    <x v="245"/>
    <x v="1"/>
    <s v="Mercy"/>
    <s v="Mouse"/>
    <x v="3"/>
    <n v="6"/>
    <n v="1200"/>
    <n v="550"/>
    <n v="7200"/>
    <n v="3300"/>
    <n v="3900"/>
    <x v="5"/>
  </r>
  <r>
    <x v="470"/>
    <x v="246"/>
    <x v="1"/>
    <s v="Peter"/>
    <s v="Headphones"/>
    <x v="2"/>
    <n v="7"/>
    <n v="4500"/>
    <n v="2800"/>
    <n v="31500"/>
    <n v="19600"/>
    <n v="11900"/>
    <x v="3"/>
  </r>
  <r>
    <x v="471"/>
    <x v="246"/>
    <x v="1"/>
    <s v="Mercy"/>
    <s v="USB Drive"/>
    <x v="3"/>
    <n v="6"/>
    <n v="900"/>
    <n v="400"/>
    <n v="5400"/>
    <n v="2400"/>
    <n v="3000"/>
    <x v="14"/>
  </r>
  <r>
    <x v="472"/>
    <x v="246"/>
    <x v="0"/>
    <s v="Amina"/>
    <s v="Keyboard"/>
    <x v="3"/>
    <n v="7"/>
    <n v="2500"/>
    <n v="1300"/>
    <n v="17500"/>
    <n v="9100"/>
    <n v="8400"/>
    <x v="7"/>
  </r>
  <r>
    <x v="473"/>
    <x v="247"/>
    <x v="4"/>
    <s v="Peter"/>
    <s v="Keyboard"/>
    <x v="3"/>
    <n v="8"/>
    <n v="2500"/>
    <n v="1300"/>
    <n v="20000"/>
    <n v="10400"/>
    <n v="9600"/>
    <x v="7"/>
  </r>
  <r>
    <x v="474"/>
    <x v="248"/>
    <x v="4"/>
    <s v="Faith"/>
    <s v="Mouse"/>
    <x v="3"/>
    <n v="2"/>
    <n v="1200"/>
    <n v="550"/>
    <n v="2400"/>
    <n v="1100"/>
    <n v="1300"/>
    <x v="5"/>
  </r>
  <r>
    <x v="475"/>
    <x v="249"/>
    <x v="3"/>
    <s v="Brian"/>
    <s v="Headphones"/>
    <x v="2"/>
    <n v="5"/>
    <n v="4500"/>
    <n v="2800"/>
    <n v="22500"/>
    <n v="14000"/>
    <n v="8500"/>
    <x v="3"/>
  </r>
  <r>
    <x v="476"/>
    <x v="250"/>
    <x v="4"/>
    <s v="Mercy"/>
    <s v="Desk"/>
    <x v="0"/>
    <n v="2"/>
    <n v="22000"/>
    <n v="15500"/>
    <n v="44000"/>
    <n v="31000"/>
    <n v="13000"/>
    <x v="0"/>
  </r>
  <r>
    <x v="477"/>
    <x v="250"/>
    <x v="3"/>
    <s v="Peter"/>
    <s v="USB Drive"/>
    <x v="3"/>
    <n v="2"/>
    <n v="900"/>
    <n v="400"/>
    <n v="1800"/>
    <n v="800"/>
    <n v="1000"/>
    <x v="14"/>
  </r>
  <r>
    <x v="478"/>
    <x v="251"/>
    <x v="2"/>
    <s v="Kevin"/>
    <s v="Mouse"/>
    <x v="3"/>
    <n v="2"/>
    <n v="1320"/>
    <n v="550"/>
    <n v="2640"/>
    <n v="1100"/>
    <n v="1540"/>
    <x v="23"/>
  </r>
  <r>
    <x v="479"/>
    <x v="252"/>
    <x v="4"/>
    <s v="Amina"/>
    <s v="Headphones"/>
    <x v="2"/>
    <n v="2"/>
    <n v="4500"/>
    <n v="2800"/>
    <n v="9000"/>
    <n v="5600"/>
    <n v="3400"/>
    <x v="3"/>
  </r>
  <r>
    <x v="480"/>
    <x v="252"/>
    <x v="3"/>
    <s v="Faith"/>
    <s v="Headphones"/>
    <x v="2"/>
    <n v="6"/>
    <n v="4500"/>
    <n v="2800"/>
    <n v="27000"/>
    <n v="16800"/>
    <n v="10200"/>
    <x v="3"/>
  </r>
  <r>
    <x v="481"/>
    <x v="253"/>
    <x v="1"/>
    <s v="Mercy"/>
    <s v="Monitor"/>
    <x v="2"/>
    <n v="2"/>
    <n v="18900"/>
    <n v="13500"/>
    <n v="37800"/>
    <n v="27000"/>
    <n v="10800"/>
    <x v="4"/>
  </r>
  <r>
    <x v="482"/>
    <x v="253"/>
    <x v="1"/>
    <s v="Mercy"/>
    <s v="USB Drive"/>
    <x v="3"/>
    <n v="1"/>
    <n v="900"/>
    <n v="400"/>
    <n v="900"/>
    <n v="400"/>
    <n v="500"/>
    <x v="14"/>
  </r>
  <r>
    <x v="483"/>
    <x v="254"/>
    <x v="2"/>
    <s v="Kevin"/>
    <s v="Office Chair"/>
    <x v="0"/>
    <n v="7"/>
    <n v="12500"/>
    <n v="8500"/>
    <n v="87500"/>
    <n v="59500"/>
    <n v="28000"/>
    <x v="8"/>
  </r>
  <r>
    <x v="484"/>
    <x v="255"/>
    <x v="4"/>
    <s v="Brian"/>
    <s v="Monitor"/>
    <x v="2"/>
    <n v="8"/>
    <n v="18000"/>
    <n v="13500"/>
    <n v="144000"/>
    <n v="108000"/>
    <n v="36000"/>
    <x v="2"/>
  </r>
  <r>
    <x v="485"/>
    <x v="255"/>
    <x v="0"/>
    <s v="Faith"/>
    <s v="Printer"/>
    <x v="1"/>
    <n v="7"/>
    <n v="24000"/>
    <n v="18500"/>
    <n v="168000"/>
    <n v="129500"/>
    <n v="38500"/>
    <x v="13"/>
  </r>
  <r>
    <x v="486"/>
    <x v="255"/>
    <x v="4"/>
    <s v="Kevin"/>
    <s v="Headphones"/>
    <x v="2"/>
    <n v="7"/>
    <n v="4500"/>
    <n v="2800"/>
    <n v="31500"/>
    <n v="19600"/>
    <n v="11900"/>
    <x v="3"/>
  </r>
  <r>
    <x v="487"/>
    <x v="255"/>
    <x v="0"/>
    <s v="Brian"/>
    <s v="USB Drive"/>
    <x v="3"/>
    <n v="1"/>
    <n v="810"/>
    <n v="400"/>
    <n v="810"/>
    <n v="400"/>
    <n v="410"/>
    <x v="22"/>
  </r>
  <r>
    <x v="488"/>
    <x v="256"/>
    <x v="4"/>
    <s v="Kevin"/>
    <s v="Headphones"/>
    <x v="2"/>
    <n v="1"/>
    <n v="4500"/>
    <n v="2800"/>
    <n v="4500"/>
    <n v="2800"/>
    <n v="1700"/>
    <x v="3"/>
  </r>
  <r>
    <x v="489"/>
    <x v="256"/>
    <x v="4"/>
    <s v="Mercy"/>
    <s v="Headphones"/>
    <x v="2"/>
    <n v="1"/>
    <n v="4500"/>
    <n v="2800"/>
    <n v="4500"/>
    <n v="2800"/>
    <n v="1700"/>
    <x v="3"/>
  </r>
  <r>
    <x v="490"/>
    <x v="257"/>
    <x v="1"/>
    <s v="Mercy"/>
    <s v="Keyboard"/>
    <x v="3"/>
    <n v="8"/>
    <n v="2500"/>
    <n v="1300"/>
    <n v="20000"/>
    <n v="10400"/>
    <n v="9600"/>
    <x v="7"/>
  </r>
  <r>
    <x v="491"/>
    <x v="257"/>
    <x v="3"/>
    <s v="Brian"/>
    <s v="Laptop"/>
    <x v="2"/>
    <n v="5"/>
    <n v="65000"/>
    <n v="52000"/>
    <n v="325000"/>
    <n v="260000"/>
    <n v="65000"/>
    <x v="18"/>
  </r>
  <r>
    <x v="492"/>
    <x v="258"/>
    <x v="4"/>
    <s v="Peter"/>
    <s v="USB Drive"/>
    <x v="3"/>
    <n v="7"/>
    <n v="990"/>
    <n v="400"/>
    <n v="6930"/>
    <n v="2800"/>
    <n v="4130"/>
    <x v="38"/>
  </r>
  <r>
    <x v="493"/>
    <x v="259"/>
    <x v="2"/>
    <s v="Amina"/>
    <s v="Laptop"/>
    <x v="2"/>
    <n v="8"/>
    <n v="71500"/>
    <n v="52000"/>
    <n v="572000"/>
    <n v="416000"/>
    <n v="156000"/>
    <x v="26"/>
  </r>
  <r>
    <x v="494"/>
    <x v="260"/>
    <x v="0"/>
    <s v="Faith"/>
    <s v="Headphones"/>
    <x v="2"/>
    <n v="2"/>
    <n v="4500"/>
    <n v="2800"/>
    <n v="9000"/>
    <n v="5600"/>
    <n v="3400"/>
    <x v="3"/>
  </r>
  <r>
    <x v="495"/>
    <x v="260"/>
    <x v="0"/>
    <s v="Mercy"/>
    <s v="Desk"/>
    <x v="0"/>
    <n v="1"/>
    <n v="19800"/>
    <n v="15500"/>
    <n v="19800"/>
    <n v="15500"/>
    <n v="4300"/>
    <x v="31"/>
  </r>
  <r>
    <x v="496"/>
    <x v="261"/>
    <x v="1"/>
    <s v="Kevin"/>
    <s v="Keyboard"/>
    <x v="3"/>
    <n v="1"/>
    <n v="2500"/>
    <n v="1300"/>
    <n v="2500"/>
    <n v="1300"/>
    <n v="1200"/>
    <x v="7"/>
  </r>
  <r>
    <x v="497"/>
    <x v="261"/>
    <x v="1"/>
    <s v="Brian"/>
    <s v="Desk"/>
    <x v="0"/>
    <n v="2"/>
    <n v="23100"/>
    <n v="15500"/>
    <n v="46200"/>
    <n v="31000"/>
    <n v="15200"/>
    <x v="11"/>
  </r>
  <r>
    <x v="498"/>
    <x v="262"/>
    <x v="1"/>
    <s v="Peter"/>
    <s v="Keyboard"/>
    <x v="3"/>
    <n v="1"/>
    <n v="2500"/>
    <n v="1300"/>
    <n v="2500"/>
    <n v="1300"/>
    <n v="1200"/>
    <x v="7"/>
  </r>
  <r>
    <x v="499"/>
    <x v="263"/>
    <x v="4"/>
    <s v="Peter"/>
    <s v="Keyboard"/>
    <x v="3"/>
    <n v="2"/>
    <n v="2500"/>
    <n v="1300"/>
    <n v="5000"/>
    <n v="2600"/>
    <n v="2400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64D13D-16C6-40FA-9CFC-15FA752A883D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I27:N34" firstHeaderRow="1" firstDataRow="2" firstDataCol="1"/>
  <pivotFields count="15">
    <pivotField showAll="0"/>
    <pivotField numFmtId="165" showAll="0">
      <items count="2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t="default"/>
      </items>
    </pivotField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axis="axisCol" showAll="0">
      <items count="5">
        <item x="3"/>
        <item x="2"/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numFmtId="9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Quantity" fld="6" subtotal="count" baseField="2" baseItem="0"/>
  </dataFields>
  <chartFormats count="4">
    <chartFormat chart="0" format="2" series="1">
      <pivotArea type="data" outline="0" fieldPosition="0">
        <references count="1">
          <reference field="5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5" count="1" selected="0">
            <x v="2"/>
          </reference>
        </references>
      </pivotArea>
    </chartFormat>
    <chartFormat chart="0" format="4" series="1">
      <pivotArea type="data" outline="0" fieldPosition="0">
        <references count="1">
          <reference field="5" count="1" selected="0">
            <x v="3"/>
          </reference>
        </references>
      </pivotArea>
    </chartFormat>
    <chartFormat chart="0" format="5" series="1">
      <pivotArea type="data" outline="0" fieldPosition="0">
        <references count="1"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761DBE-6661-4FD5-BA85-247026169208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27:C32" firstHeaderRow="0" firstDataRow="1" firstDataCol="1"/>
  <pivotFields count="15">
    <pivotField showAll="0"/>
    <pivotField numFmtId="165" showAll="0">
      <items count="2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t="default"/>
      </items>
    </pivotField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dataField="1" showAll="0"/>
    <pivotField numFmtId="9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9" baseField="0" baseItem="0"/>
    <dataField name="Sum of Profit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A5DAD4-4530-4280-8CC5-9B7B0068A5BF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K3:L9" firstHeaderRow="1" firstDataRow="1" firstDataCol="1"/>
  <pivotFields count="15">
    <pivotField showAll="0"/>
    <pivotField numFmtId="165" showAll="0">
      <items count="2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t="default"/>
      </items>
    </pivotField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numFmtId="9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538CE4-5E8D-4A17-A3F1-FEA57BD8D804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15">
    <pivotField showAll="0">
      <items count="501">
        <item x="38"/>
        <item x="389"/>
        <item x="322"/>
        <item x="215"/>
        <item x="209"/>
        <item x="438"/>
        <item x="35"/>
        <item x="345"/>
        <item x="105"/>
        <item x="44"/>
        <item x="268"/>
        <item x="492"/>
        <item x="365"/>
        <item x="380"/>
        <item x="354"/>
        <item x="399"/>
        <item x="263"/>
        <item x="61"/>
        <item x="428"/>
        <item x="226"/>
        <item x="254"/>
        <item x="184"/>
        <item x="97"/>
        <item x="462"/>
        <item x="396"/>
        <item x="319"/>
        <item x="192"/>
        <item x="417"/>
        <item x="275"/>
        <item x="218"/>
        <item x="225"/>
        <item x="111"/>
        <item x="41"/>
        <item x="283"/>
        <item x="443"/>
        <item x="24"/>
        <item x="437"/>
        <item x="420"/>
        <item x="133"/>
        <item x="312"/>
        <item x="86"/>
        <item x="378"/>
        <item x="349"/>
        <item x="176"/>
        <item x="27"/>
        <item x="489"/>
        <item x="220"/>
        <item x="446"/>
        <item x="339"/>
        <item x="393"/>
        <item x="379"/>
        <item x="102"/>
        <item x="177"/>
        <item x="237"/>
        <item x="252"/>
        <item x="20"/>
        <item x="276"/>
        <item x="81"/>
        <item x="370"/>
        <item x="340"/>
        <item x="458"/>
        <item x="369"/>
        <item x="181"/>
        <item x="486"/>
        <item x="197"/>
        <item x="165"/>
        <item x="453"/>
        <item x="185"/>
        <item x="28"/>
        <item x="240"/>
        <item x="406"/>
        <item x="100"/>
        <item x="231"/>
        <item x="65"/>
        <item x="343"/>
        <item x="243"/>
        <item x="167"/>
        <item x="110"/>
        <item x="286"/>
        <item x="335"/>
        <item x="473"/>
        <item x="213"/>
        <item x="83"/>
        <item x="423"/>
        <item x="311"/>
        <item x="348"/>
        <item x="45"/>
        <item x="157"/>
        <item x="386"/>
        <item x="425"/>
        <item x="210"/>
        <item x="409"/>
        <item x="429"/>
        <item x="190"/>
        <item x="449"/>
        <item x="142"/>
        <item x="119"/>
        <item x="342"/>
        <item x="318"/>
        <item x="71"/>
        <item x="426"/>
        <item x="103"/>
        <item x="408"/>
        <item x="2"/>
        <item x="404"/>
        <item x="400"/>
        <item x="394"/>
        <item x="328"/>
        <item x="241"/>
        <item x="352"/>
        <item x="134"/>
        <item x="391"/>
        <item x="282"/>
        <item x="229"/>
        <item x="260"/>
        <item x="290"/>
        <item x="17"/>
        <item x="68"/>
        <item x="120"/>
        <item x="53"/>
        <item x="216"/>
        <item x="333"/>
        <item x="321"/>
        <item x="239"/>
        <item x="435"/>
        <item x="288"/>
        <item x="30"/>
        <item x="382"/>
        <item x="292"/>
        <item x="316"/>
        <item x="287"/>
        <item x="280"/>
        <item x="39"/>
        <item x="285"/>
        <item x="407"/>
        <item x="151"/>
        <item x="303"/>
        <item x="14"/>
        <item x="175"/>
        <item x="214"/>
        <item x="493"/>
        <item x="108"/>
        <item x="130"/>
        <item x="196"/>
        <item x="497"/>
        <item x="433"/>
        <item x="16"/>
        <item x="115"/>
        <item x="416"/>
        <item x="23"/>
        <item x="434"/>
        <item x="135"/>
        <item x="456"/>
        <item x="144"/>
        <item x="212"/>
        <item x="325"/>
        <item x="63"/>
        <item x="284"/>
        <item x="261"/>
        <item x="398"/>
        <item x="498"/>
        <item x="330"/>
        <item x="194"/>
        <item x="193"/>
        <item x="201"/>
        <item x="415"/>
        <item x="163"/>
        <item x="89"/>
        <item x="171"/>
        <item x="9"/>
        <item x="49"/>
        <item x="37"/>
        <item x="388"/>
        <item x="360"/>
        <item x="347"/>
        <item x="232"/>
        <item x="353"/>
        <item x="84"/>
        <item x="451"/>
        <item x="255"/>
        <item x="472"/>
        <item x="80"/>
        <item x="253"/>
        <item x="346"/>
        <item x="251"/>
        <item x="221"/>
        <item x="85"/>
        <item x="189"/>
        <item x="118"/>
        <item x="152"/>
        <item x="341"/>
        <item x="313"/>
        <item x="305"/>
        <item x="179"/>
        <item x="480"/>
        <item x="36"/>
        <item x="173"/>
        <item x="56"/>
        <item x="172"/>
        <item x="481"/>
        <item x="180"/>
        <item x="455"/>
        <item x="249"/>
        <item x="350"/>
        <item x="227"/>
        <item x="127"/>
        <item x="381"/>
        <item x="485"/>
        <item x="126"/>
        <item x="392"/>
        <item x="124"/>
        <item x="355"/>
        <item x="401"/>
        <item x="224"/>
        <item x="366"/>
        <item x="129"/>
        <item x="29"/>
        <item x="46"/>
        <item x="222"/>
        <item x="452"/>
        <item x="62"/>
        <item x="228"/>
        <item x="351"/>
        <item x="107"/>
        <item x="359"/>
        <item x="153"/>
        <item x="414"/>
        <item x="293"/>
        <item x="274"/>
        <item x="93"/>
        <item x="234"/>
        <item x="436"/>
        <item x="7"/>
        <item x="377"/>
        <item x="247"/>
        <item x="358"/>
        <item x="329"/>
        <item x="205"/>
        <item x="154"/>
        <item x="309"/>
        <item x="72"/>
        <item x="296"/>
        <item x="42"/>
        <item x="320"/>
        <item x="310"/>
        <item x="34"/>
        <item x="376"/>
        <item x="199"/>
        <item x="402"/>
        <item x="19"/>
        <item x="96"/>
        <item x="250"/>
        <item x="99"/>
        <item x="166"/>
        <item x="324"/>
        <item x="74"/>
        <item x="337"/>
        <item x="47"/>
        <item x="91"/>
        <item x="297"/>
        <item x="403"/>
        <item x="90"/>
        <item x="149"/>
        <item x="459"/>
        <item x="495"/>
        <item x="295"/>
        <item x="223"/>
        <item x="174"/>
        <item x="306"/>
        <item x="298"/>
        <item x="145"/>
        <item x="11"/>
        <item x="77"/>
        <item x="478"/>
        <item x="200"/>
        <item x="244"/>
        <item x="236"/>
        <item x="395"/>
        <item x="25"/>
        <item x="32"/>
        <item x="131"/>
        <item x="245"/>
        <item x="334"/>
        <item x="248"/>
        <item x="219"/>
        <item x="470"/>
        <item x="82"/>
        <item x="291"/>
        <item x="271"/>
        <item x="242"/>
        <item x="412"/>
        <item x="128"/>
        <item x="477"/>
        <item x="168"/>
        <item x="273"/>
        <item x="267"/>
        <item x="432"/>
        <item x="217"/>
        <item x="138"/>
        <item x="8"/>
        <item x="178"/>
        <item x="419"/>
        <item x="3"/>
        <item x="450"/>
        <item x="272"/>
        <item x="73"/>
        <item x="150"/>
        <item x="278"/>
        <item x="161"/>
        <item x="50"/>
        <item x="332"/>
        <item x="336"/>
        <item x="55"/>
        <item x="137"/>
        <item x="121"/>
        <item x="323"/>
        <item x="363"/>
        <item x="362"/>
        <item x="471"/>
        <item x="385"/>
        <item x="164"/>
        <item x="51"/>
        <item x="307"/>
        <item x="457"/>
        <item x="490"/>
        <item x="114"/>
        <item x="116"/>
        <item x="18"/>
        <item x="69"/>
        <item x="281"/>
        <item x="277"/>
        <item x="183"/>
        <item x="156"/>
        <item x="421"/>
        <item x="230"/>
        <item x="413"/>
        <item x="482"/>
        <item x="160"/>
        <item x="106"/>
        <item x="475"/>
        <item x="314"/>
        <item x="143"/>
        <item x="308"/>
        <item x="264"/>
        <item x="454"/>
        <item x="123"/>
        <item x="494"/>
        <item x="467"/>
        <item x="94"/>
        <item x="88"/>
        <item x="270"/>
        <item x="21"/>
        <item x="147"/>
        <item x="211"/>
        <item x="487"/>
        <item x="496"/>
        <item x="79"/>
        <item x="447"/>
        <item x="40"/>
        <item x="373"/>
        <item x="430"/>
        <item x="445"/>
        <item x="109"/>
        <item x="448"/>
        <item x="54"/>
        <item x="265"/>
        <item x="238"/>
        <item x="159"/>
        <item x="10"/>
        <item x="387"/>
        <item x="170"/>
        <item x="326"/>
        <item x="195"/>
        <item x="187"/>
        <item x="442"/>
        <item x="43"/>
        <item x="364"/>
        <item x="371"/>
        <item x="188"/>
        <item x="125"/>
        <item x="0"/>
        <item x="468"/>
        <item x="474"/>
        <item x="117"/>
        <item x="15"/>
        <item x="58"/>
        <item x="26"/>
        <item x="424"/>
        <item x="444"/>
        <item x="78"/>
        <item x="372"/>
        <item x="95"/>
        <item x="182"/>
        <item x="301"/>
        <item x="357"/>
        <item x="441"/>
        <item x="22"/>
        <item x="101"/>
        <item x="136"/>
        <item x="155"/>
        <item x="499"/>
        <item x="390"/>
        <item x="162"/>
        <item x="488"/>
        <item x="258"/>
        <item x="257"/>
        <item x="207"/>
        <item x="75"/>
        <item x="469"/>
        <item x="4"/>
        <item x="92"/>
        <item x="112"/>
        <item x="132"/>
        <item x="66"/>
        <item x="6"/>
        <item x="338"/>
        <item x="484"/>
        <item x="59"/>
        <item x="146"/>
        <item x="259"/>
        <item x="464"/>
        <item x="344"/>
        <item x="383"/>
        <item x="294"/>
        <item x="203"/>
        <item x="104"/>
        <item x="439"/>
        <item x="410"/>
        <item x="13"/>
        <item x="356"/>
        <item x="33"/>
        <item x="367"/>
        <item x="418"/>
        <item x="64"/>
        <item x="208"/>
        <item x="60"/>
        <item x="289"/>
        <item x="463"/>
        <item x="31"/>
        <item x="191"/>
        <item x="491"/>
        <item x="148"/>
        <item x="67"/>
        <item x="246"/>
        <item x="262"/>
        <item x="327"/>
        <item x="158"/>
        <item x="476"/>
        <item x="266"/>
        <item x="139"/>
        <item x="479"/>
        <item x="460"/>
        <item x="256"/>
        <item x="12"/>
        <item x="300"/>
        <item x="279"/>
        <item x="76"/>
        <item x="317"/>
        <item x="427"/>
        <item x="48"/>
        <item x="361"/>
        <item x="70"/>
        <item x="374"/>
        <item x="202"/>
        <item x="1"/>
        <item x="483"/>
        <item x="87"/>
        <item x="299"/>
        <item x="98"/>
        <item x="465"/>
        <item x="368"/>
        <item x="411"/>
        <item x="206"/>
        <item x="235"/>
        <item x="315"/>
        <item x="397"/>
        <item x="431"/>
        <item x="5"/>
        <item x="331"/>
        <item x="52"/>
        <item x="140"/>
        <item x="422"/>
        <item x="122"/>
        <item x="405"/>
        <item x="233"/>
        <item x="113"/>
        <item x="169"/>
        <item x="269"/>
        <item x="384"/>
        <item x="304"/>
        <item x="466"/>
        <item x="440"/>
        <item x="375"/>
        <item x="302"/>
        <item x="141"/>
        <item x="198"/>
        <item x="57"/>
        <item x="186"/>
        <item x="461"/>
        <item x="204"/>
        <item t="default"/>
      </items>
    </pivotField>
    <pivotField numFmtId="165" showAll="0">
      <items count="2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t="default"/>
      </items>
    </pivotField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dataField="1" showAll="0"/>
    <pivotField numFmtId="9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9" baseField="5" baseItem="1" numFmtId="3"/>
    <dataField name="Sum of Profit" fld="11" baseField="5" baseItem="1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575060-63BC-4AE5-A719-6BAF5D742A2B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1:C24" firstHeaderRow="0" firstDataRow="1" firstDataCol="1"/>
  <pivotFields count="15">
    <pivotField showAll="0"/>
    <pivotField axis="axisRow" numFmtId="165" showAll="0">
      <items count="2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t="default"/>
      </items>
    </pivotField>
    <pivotField showAll="0"/>
    <pivotField showAll="0"/>
    <pivotField showAll="0"/>
    <pivotField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dataField="1" showAll="0"/>
    <pivotField numFmtId="9" showAll="0">
      <items count="40">
        <item x="33"/>
        <item x="16"/>
        <item x="37"/>
        <item x="18"/>
        <item x="31"/>
        <item x="13"/>
        <item x="20"/>
        <item x="24"/>
        <item x="2"/>
        <item x="17"/>
        <item x="26"/>
        <item x="4"/>
        <item x="0"/>
        <item x="10"/>
        <item x="32"/>
        <item x="27"/>
        <item x="8"/>
        <item x="11"/>
        <item x="34"/>
        <item x="3"/>
        <item x="36"/>
        <item x="19"/>
        <item x="12"/>
        <item x="25"/>
        <item x="30"/>
        <item x="7"/>
        <item x="1"/>
        <item x="28"/>
        <item x="9"/>
        <item x="22"/>
        <item x="35"/>
        <item x="29"/>
        <item x="15"/>
        <item x="5"/>
        <item x="14"/>
        <item x="6"/>
        <item x="21"/>
        <item x="23"/>
        <item x="38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 sd="0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</pivotFields>
  <rowFields count="3">
    <field x="14"/>
    <field x="13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9" baseField="14" baseItem="1" numFmtId="4"/>
    <dataField name="Sum of Profit" fld="11" baseField="14" baseItem="3" numFmtId="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8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115DF2-6EAF-4E02-9B00-F747E98BCA3E}" name="tblSales" displayName="tblSales" ref="A1:M501" totalsRowShown="0" headerRowDxfId="7" headerRowBorderDxfId="6" tableBorderDxfId="5">
  <autoFilter ref="A1:M501" xr:uid="{00000000-0009-0000-0000-000000000000}"/>
  <tableColumns count="13">
    <tableColumn id="1" xr3:uid="{75671053-8FD9-4424-A90F-D4DF4ED8FBDA}" name="Order ID"/>
    <tableColumn id="2" xr3:uid="{51EAF18D-3C61-4E29-8AA8-A45368DF6DFD}" name="Order Date" dataDxfId="4"/>
    <tableColumn id="3" xr3:uid="{FB1FC81B-08D2-4962-9AB7-FE3E4682E2EF}" name="Region"/>
    <tableColumn id="4" xr3:uid="{49A19DCE-8C4D-442A-A883-882042A58DFA}" name="Sales Rep"/>
    <tableColumn id="5" xr3:uid="{B42DB300-93A0-47D1-A984-B8EEE3DB57D7}" name="Product"/>
    <tableColumn id="6" xr3:uid="{AC34B12D-2776-415D-9093-2E013065DA4A}" name="Category"/>
    <tableColumn id="7" xr3:uid="{859F6031-7D7A-4435-9946-DFB7691AFBED}" name="Quantity"/>
    <tableColumn id="8" xr3:uid="{47885E2A-8AEE-4ADE-93B8-9EEC192A533A}" name="Unit Price (KES)"/>
    <tableColumn id="9" xr3:uid="{02B7C593-3675-4FCA-9C9C-3A070A5C2414}" name="Unit Cost (KES)"/>
    <tableColumn id="10" xr3:uid="{D7E01E39-74D7-4F8C-A3BE-6E42D30D552C}" name="Revenue" dataDxfId="3">
      <calculatedColumnFormula>G2*H2</calculatedColumnFormula>
    </tableColumn>
    <tableColumn id="11" xr3:uid="{1B409DEB-3908-47C5-BB18-DB0485528CCA}" name="Total Cost" dataDxfId="2">
      <calculatedColumnFormula>G2*I2</calculatedColumnFormula>
    </tableColumn>
    <tableColumn id="12" xr3:uid="{17B0BC91-6B9B-4178-B2A8-212774489BAA}" name="Profit" dataDxfId="1">
      <calculatedColumnFormula>J2-K2</calculatedColumnFormula>
    </tableColumn>
    <tableColumn id="13" xr3:uid="{E75DCA8A-AACF-4596-848B-C7157045E46B}" name="Profit margin" dataDxfId="0">
      <calculatedColumnFormula>(J2-K2)/J2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FC30A-246B-482A-BA1F-DB9B01CB2A57}">
  <dimension ref="A1:N34"/>
  <sheetViews>
    <sheetView tabSelected="1" topLeftCell="B7" zoomScaleNormal="100" workbookViewId="0">
      <selection activeCell="G40" sqref="G40"/>
    </sheetView>
  </sheetViews>
  <sheetFormatPr defaultRowHeight="15" x14ac:dyDescent="0.25"/>
  <cols>
    <col min="1" max="1" width="14.5703125" bestFit="1" customWidth="1"/>
    <col min="2" max="2" width="15.5703125" bestFit="1" customWidth="1"/>
    <col min="3" max="3" width="12.5703125" bestFit="1" customWidth="1"/>
    <col min="4" max="4" width="23" bestFit="1" customWidth="1"/>
    <col min="5" max="5" width="12.7109375" bestFit="1" customWidth="1"/>
    <col min="6" max="6" width="10.140625" bestFit="1" customWidth="1"/>
    <col min="7" max="8" width="11.7109375" bestFit="1" customWidth="1"/>
    <col min="10" max="10" width="16.85546875" bestFit="1" customWidth="1"/>
    <col min="11" max="11" width="16.28515625" bestFit="1" customWidth="1"/>
    <col min="12" max="12" width="10.5703125" bestFit="1" customWidth="1"/>
    <col min="13" max="13" width="9.28515625" bestFit="1" customWidth="1"/>
    <col min="14" max="14" width="14.5703125" bestFit="1" customWidth="1"/>
    <col min="15" max="15" width="11.28515625" bestFit="1" customWidth="1"/>
  </cols>
  <sheetData>
    <row r="1" spans="1:12" ht="15" customHeight="1" x14ac:dyDescent="0.25">
      <c r="A1" s="25" t="s">
        <v>556</v>
      </c>
      <c r="B1" s="26"/>
      <c r="C1" s="26"/>
      <c r="F1" s="14"/>
      <c r="G1" s="15"/>
      <c r="H1" s="15"/>
      <c r="I1" s="15"/>
    </row>
    <row r="2" spans="1:12" x14ac:dyDescent="0.25">
      <c r="A2" s="26"/>
      <c r="B2" s="26"/>
      <c r="C2" s="26"/>
      <c r="E2" s="29" t="s">
        <v>548</v>
      </c>
      <c r="F2" s="30"/>
      <c r="G2" s="15"/>
      <c r="H2" s="16" t="s">
        <v>570</v>
      </c>
      <c r="I2" s="17"/>
    </row>
    <row r="3" spans="1:12" x14ac:dyDescent="0.25">
      <c r="A3" s="10" t="s">
        <v>552</v>
      </c>
      <c r="B3" t="s">
        <v>554</v>
      </c>
      <c r="C3" t="s">
        <v>555</v>
      </c>
      <c r="E3" s="31">
        <f>SUM(Sales_Data!J2:J501)</f>
        <v>27025232.5</v>
      </c>
      <c r="F3" s="32"/>
      <c r="H3" s="18">
        <f>SUM(Sales_Data!L2:L501)</f>
        <v>6785552.5</v>
      </c>
      <c r="I3" s="19"/>
      <c r="K3" s="10" t="s">
        <v>552</v>
      </c>
      <c r="L3" t="s">
        <v>554</v>
      </c>
    </row>
    <row r="4" spans="1:12" x14ac:dyDescent="0.25">
      <c r="A4" s="11" t="s">
        <v>32</v>
      </c>
      <c r="B4" s="12">
        <v>1469705</v>
      </c>
      <c r="C4" s="12">
        <v>758955</v>
      </c>
      <c r="K4" s="11" t="s">
        <v>10</v>
      </c>
      <c r="L4" s="33">
        <v>2166595</v>
      </c>
    </row>
    <row r="5" spans="1:12" x14ac:dyDescent="0.25">
      <c r="A5" s="11" t="s">
        <v>23</v>
      </c>
      <c r="B5" s="12">
        <v>19716600</v>
      </c>
      <c r="C5" s="12">
        <v>4429800</v>
      </c>
      <c r="E5" s="20" t="s">
        <v>571</v>
      </c>
      <c r="F5" s="21"/>
      <c r="H5" s="23" t="s">
        <v>572</v>
      </c>
      <c r="I5" s="23"/>
      <c r="K5" s="11" t="s">
        <v>20</v>
      </c>
      <c r="L5" s="33">
        <v>3076540</v>
      </c>
    </row>
    <row r="6" spans="1:12" x14ac:dyDescent="0.25">
      <c r="A6" s="11" t="s">
        <v>13</v>
      </c>
      <c r="B6" s="12">
        <v>3179300</v>
      </c>
      <c r="C6" s="12">
        <v>988300</v>
      </c>
      <c r="E6" s="22">
        <f>COUNTA(Sales_Data!A1:G501)</f>
        <v>3507</v>
      </c>
      <c r="F6" s="22"/>
      <c r="H6" s="24">
        <f>IFERROR(C8/B8,0)</f>
        <v>0.25108211372464601</v>
      </c>
      <c r="I6" s="24"/>
      <c r="K6" s="11" t="s">
        <v>15</v>
      </c>
      <c r="L6" s="33">
        <v>10305310</v>
      </c>
    </row>
    <row r="7" spans="1:12" x14ac:dyDescent="0.25">
      <c r="A7" s="11" t="s">
        <v>18</v>
      </c>
      <c r="B7" s="12">
        <v>2659627.5</v>
      </c>
      <c r="C7" s="12">
        <v>608497.5</v>
      </c>
      <c r="K7" s="11" t="s">
        <v>25</v>
      </c>
      <c r="L7" s="33">
        <v>7011992.5</v>
      </c>
    </row>
    <row r="8" spans="1:12" x14ac:dyDescent="0.25">
      <c r="A8" s="11" t="s">
        <v>553</v>
      </c>
      <c r="B8" s="12">
        <v>27025232.5</v>
      </c>
      <c r="C8" s="12">
        <v>6785552.5</v>
      </c>
      <c r="K8" s="11" t="s">
        <v>39</v>
      </c>
      <c r="L8" s="33">
        <v>4464795</v>
      </c>
    </row>
    <row r="9" spans="1:12" x14ac:dyDescent="0.25">
      <c r="A9" s="27" t="s">
        <v>557</v>
      </c>
      <c r="B9" s="28"/>
      <c r="C9" s="28"/>
      <c r="K9" s="11" t="s">
        <v>553</v>
      </c>
      <c r="L9" s="33">
        <v>27025232.5</v>
      </c>
    </row>
    <row r="10" spans="1:12" x14ac:dyDescent="0.25">
      <c r="A10" s="28"/>
      <c r="B10" s="28"/>
      <c r="C10" s="28"/>
    </row>
    <row r="11" spans="1:12" x14ac:dyDescent="0.25">
      <c r="A11" s="10" t="s">
        <v>552</v>
      </c>
      <c r="B11" t="s">
        <v>554</v>
      </c>
      <c r="C11" t="s">
        <v>555</v>
      </c>
    </row>
    <row r="12" spans="1:12" x14ac:dyDescent="0.25">
      <c r="A12" s="11" t="s">
        <v>558</v>
      </c>
      <c r="B12" s="13">
        <v>906140</v>
      </c>
      <c r="C12" s="13">
        <v>293180</v>
      </c>
    </row>
    <row r="13" spans="1:12" x14ac:dyDescent="0.25">
      <c r="A13" s="11" t="s">
        <v>559</v>
      </c>
      <c r="B13" s="13">
        <v>3719960</v>
      </c>
      <c r="C13" s="13">
        <v>879330</v>
      </c>
    </row>
    <row r="14" spans="1:12" x14ac:dyDescent="0.25">
      <c r="A14" s="11" t="s">
        <v>560</v>
      </c>
      <c r="B14" s="13">
        <v>3388260</v>
      </c>
      <c r="C14" s="13">
        <v>808190</v>
      </c>
    </row>
    <row r="15" spans="1:12" x14ac:dyDescent="0.25">
      <c r="A15" s="11" t="s">
        <v>561</v>
      </c>
      <c r="B15" s="13">
        <v>1808860</v>
      </c>
      <c r="C15" s="13">
        <v>421820</v>
      </c>
    </row>
    <row r="16" spans="1:12" x14ac:dyDescent="0.25">
      <c r="A16" s="11" t="s">
        <v>562</v>
      </c>
      <c r="B16" s="13">
        <v>1951665</v>
      </c>
      <c r="C16" s="13">
        <v>486765</v>
      </c>
    </row>
    <row r="17" spans="1:14" x14ac:dyDescent="0.25">
      <c r="A17" s="11" t="s">
        <v>563</v>
      </c>
      <c r="B17" s="13">
        <v>2105697.5</v>
      </c>
      <c r="C17" s="13">
        <v>571957.5</v>
      </c>
    </row>
    <row r="18" spans="1:14" x14ac:dyDescent="0.25">
      <c r="A18" s="11" t="s">
        <v>564</v>
      </c>
      <c r="B18" s="13">
        <v>2037385</v>
      </c>
      <c r="C18" s="13">
        <v>533155</v>
      </c>
    </row>
    <row r="19" spans="1:14" x14ac:dyDescent="0.25">
      <c r="A19" s="11" t="s">
        <v>565</v>
      </c>
      <c r="B19" s="13">
        <v>3831170</v>
      </c>
      <c r="C19" s="13">
        <v>853380</v>
      </c>
    </row>
    <row r="20" spans="1:14" x14ac:dyDescent="0.25">
      <c r="A20" s="11" t="s">
        <v>566</v>
      </c>
      <c r="B20" s="13">
        <v>2484285</v>
      </c>
      <c r="C20" s="13">
        <v>595485</v>
      </c>
    </row>
    <row r="21" spans="1:14" x14ac:dyDescent="0.25">
      <c r="A21" s="11" t="s">
        <v>567</v>
      </c>
      <c r="B21" s="13">
        <v>1780105</v>
      </c>
      <c r="C21" s="13">
        <v>496225</v>
      </c>
    </row>
    <row r="22" spans="1:14" x14ac:dyDescent="0.25">
      <c r="A22" s="11" t="s">
        <v>568</v>
      </c>
      <c r="B22" s="13">
        <v>1097737.5</v>
      </c>
      <c r="C22" s="13">
        <v>302347.5</v>
      </c>
    </row>
    <row r="23" spans="1:14" x14ac:dyDescent="0.25">
      <c r="A23" s="11" t="s">
        <v>569</v>
      </c>
      <c r="B23" s="13">
        <v>1913967.5</v>
      </c>
      <c r="C23" s="13">
        <v>543717.5</v>
      </c>
    </row>
    <row r="24" spans="1:14" x14ac:dyDescent="0.25">
      <c r="A24" s="11" t="s">
        <v>553</v>
      </c>
      <c r="B24" s="13">
        <v>27025232.5</v>
      </c>
      <c r="C24" s="13">
        <v>6785552.5</v>
      </c>
    </row>
    <row r="27" spans="1:14" x14ac:dyDescent="0.25">
      <c r="A27" s="10" t="s">
        <v>552</v>
      </c>
      <c r="B27" t="s">
        <v>554</v>
      </c>
      <c r="C27" t="s">
        <v>555</v>
      </c>
      <c r="D27" s="34"/>
      <c r="E27" s="34"/>
      <c r="F27" s="34"/>
      <c r="G27" s="34"/>
      <c r="I27" s="10" t="s">
        <v>574</v>
      </c>
      <c r="J27" s="10" t="s">
        <v>573</v>
      </c>
    </row>
    <row r="28" spans="1:14" x14ac:dyDescent="0.25">
      <c r="A28" s="11" t="s">
        <v>32</v>
      </c>
      <c r="B28" s="33">
        <v>1469705</v>
      </c>
      <c r="C28" s="33">
        <v>758955</v>
      </c>
      <c r="D28" s="34"/>
      <c r="E28" s="34"/>
      <c r="F28" s="34"/>
      <c r="G28" s="34"/>
      <c r="I28" s="10" t="s">
        <v>552</v>
      </c>
      <c r="J28" t="s">
        <v>32</v>
      </c>
      <c r="K28" t="s">
        <v>23</v>
      </c>
      <c r="L28" t="s">
        <v>13</v>
      </c>
      <c r="M28" t="s">
        <v>18</v>
      </c>
      <c r="N28" t="s">
        <v>553</v>
      </c>
    </row>
    <row r="29" spans="1:14" x14ac:dyDescent="0.25">
      <c r="A29" s="11" t="s">
        <v>23</v>
      </c>
      <c r="B29" s="33">
        <v>19716600</v>
      </c>
      <c r="C29" s="33">
        <v>4429800</v>
      </c>
      <c r="I29" s="11" t="s">
        <v>10</v>
      </c>
      <c r="J29" s="33">
        <v>34</v>
      </c>
      <c r="K29" s="33">
        <v>12</v>
      </c>
      <c r="L29" s="33">
        <v>10</v>
      </c>
      <c r="M29" s="33">
        <v>19</v>
      </c>
      <c r="N29" s="33">
        <v>75</v>
      </c>
    </row>
    <row r="30" spans="1:14" x14ac:dyDescent="0.25">
      <c r="A30" s="11" t="s">
        <v>13</v>
      </c>
      <c r="B30" s="33">
        <v>3179300</v>
      </c>
      <c r="C30" s="33">
        <v>988300</v>
      </c>
      <c r="I30" s="11" t="s">
        <v>20</v>
      </c>
      <c r="J30" s="33">
        <v>23</v>
      </c>
      <c r="K30" s="33">
        <v>20</v>
      </c>
      <c r="L30" s="33">
        <v>7</v>
      </c>
      <c r="M30" s="33">
        <v>8</v>
      </c>
      <c r="N30" s="33">
        <v>58</v>
      </c>
    </row>
    <row r="31" spans="1:14" x14ac:dyDescent="0.25">
      <c r="A31" s="11" t="s">
        <v>18</v>
      </c>
      <c r="B31" s="33">
        <v>2659627.5</v>
      </c>
      <c r="C31" s="33">
        <v>608497.5</v>
      </c>
      <c r="I31" s="11" t="s">
        <v>15</v>
      </c>
      <c r="J31" s="33">
        <v>75</v>
      </c>
      <c r="K31" s="33">
        <v>47</v>
      </c>
      <c r="L31" s="33">
        <v>17</v>
      </c>
      <c r="M31" s="33">
        <v>28</v>
      </c>
      <c r="N31" s="33">
        <v>167</v>
      </c>
    </row>
    <row r="32" spans="1:14" x14ac:dyDescent="0.25">
      <c r="A32" s="11" t="s">
        <v>553</v>
      </c>
      <c r="B32" s="33">
        <v>27025232.5</v>
      </c>
      <c r="C32" s="33">
        <v>6785552.5</v>
      </c>
      <c r="I32" s="11" t="s">
        <v>25</v>
      </c>
      <c r="J32" s="33">
        <v>56</v>
      </c>
      <c r="K32" s="33">
        <v>42</v>
      </c>
      <c r="L32" s="33">
        <v>14</v>
      </c>
      <c r="M32" s="33">
        <v>17</v>
      </c>
      <c r="N32" s="33">
        <v>129</v>
      </c>
    </row>
    <row r="33" spans="9:14" x14ac:dyDescent="0.25">
      <c r="I33" s="11" t="s">
        <v>39</v>
      </c>
      <c r="J33" s="33">
        <v>31</v>
      </c>
      <c r="K33" s="33">
        <v>27</v>
      </c>
      <c r="L33" s="33">
        <v>4</v>
      </c>
      <c r="M33" s="33">
        <v>9</v>
      </c>
      <c r="N33" s="33">
        <v>71</v>
      </c>
    </row>
    <row r="34" spans="9:14" x14ac:dyDescent="0.25">
      <c r="I34" s="11" t="s">
        <v>553</v>
      </c>
      <c r="J34" s="33">
        <v>219</v>
      </c>
      <c r="K34" s="33">
        <v>148</v>
      </c>
      <c r="L34" s="33">
        <v>52</v>
      </c>
      <c r="M34" s="33">
        <v>81</v>
      </c>
      <c r="N34" s="33">
        <v>500</v>
      </c>
    </row>
  </sheetData>
  <mergeCells count="10">
    <mergeCell ref="A1:C2"/>
    <mergeCell ref="A9:C10"/>
    <mergeCell ref="E2:F2"/>
    <mergeCell ref="E3:F3"/>
    <mergeCell ref="H2:I2"/>
    <mergeCell ref="H3:I3"/>
    <mergeCell ref="E5:F5"/>
    <mergeCell ref="E6:F6"/>
    <mergeCell ref="H5:I5"/>
    <mergeCell ref="H6:I6"/>
  </mergeCells>
  <pageMargins left="0.7" right="0.7" top="0.75" bottom="0.75" header="0.3" footer="0.3"/>
  <pageSetup orientation="portrait" horizontalDpi="0" verticalDpi="0" r:id="rId6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workbookViewId="0">
      <pane ySplit="1" topLeftCell="A2" activePane="bottomLeft" state="frozen"/>
      <selection pane="bottomLeft" activeCell="F2" sqref="F2"/>
    </sheetView>
  </sheetViews>
  <sheetFormatPr defaultRowHeight="15" x14ac:dyDescent="0.25"/>
  <cols>
    <col min="1" max="1" width="12" customWidth="1"/>
    <col min="2" max="2" width="21" customWidth="1"/>
    <col min="3" max="3" width="13" customWidth="1"/>
    <col min="4" max="4" width="12" customWidth="1"/>
    <col min="5" max="5" width="15" customWidth="1"/>
    <col min="6" max="6" width="17" customWidth="1"/>
    <col min="7" max="7" width="12" customWidth="1"/>
    <col min="8" max="8" width="18" customWidth="1"/>
    <col min="9" max="9" width="17" customWidth="1"/>
  </cols>
  <sheetData>
    <row r="1" spans="1:13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8" t="s">
        <v>548</v>
      </c>
      <c r="K1" s="8" t="s">
        <v>549</v>
      </c>
      <c r="L1" s="8" t="s">
        <v>550</v>
      </c>
      <c r="M1" s="8" t="s">
        <v>551</v>
      </c>
    </row>
    <row r="2" spans="1:13" x14ac:dyDescent="0.25">
      <c r="A2" t="s">
        <v>9</v>
      </c>
      <c r="B2" s="1">
        <v>45659</v>
      </c>
      <c r="C2" t="s">
        <v>10</v>
      </c>
      <c r="D2" t="s">
        <v>11</v>
      </c>
      <c r="E2" t="s">
        <v>12</v>
      </c>
      <c r="F2" t="s">
        <v>13</v>
      </c>
      <c r="G2">
        <v>1</v>
      </c>
      <c r="H2">
        <v>22000</v>
      </c>
      <c r="I2">
        <v>15500</v>
      </c>
      <c r="J2">
        <f t="shared" ref="J2:J65" si="0">G2*H2</f>
        <v>22000</v>
      </c>
      <c r="K2">
        <f t="shared" ref="K2:K65" si="1">G2*I2</f>
        <v>15500</v>
      </c>
      <c r="L2">
        <f t="shared" ref="L2:L65" si="2">J2-K2</f>
        <v>6500</v>
      </c>
      <c r="M2" s="9">
        <f>(J2-K2)/J2</f>
        <v>0.29545454545454547</v>
      </c>
    </row>
    <row r="3" spans="1:13" x14ac:dyDescent="0.25">
      <c r="A3" t="s">
        <v>14</v>
      </c>
      <c r="B3" s="1">
        <v>45660</v>
      </c>
      <c r="C3" t="s">
        <v>15</v>
      </c>
      <c r="D3" t="s">
        <v>16</v>
      </c>
      <c r="E3" t="s">
        <v>17</v>
      </c>
      <c r="F3" t="s">
        <v>18</v>
      </c>
      <c r="G3">
        <v>6</v>
      </c>
      <c r="H3">
        <v>450</v>
      </c>
      <c r="I3">
        <v>230</v>
      </c>
      <c r="J3">
        <f t="shared" si="0"/>
        <v>2700</v>
      </c>
      <c r="K3">
        <f t="shared" si="1"/>
        <v>1380</v>
      </c>
      <c r="L3">
        <f t="shared" si="2"/>
        <v>1320</v>
      </c>
      <c r="M3" s="9">
        <f t="shared" ref="M3:M66" si="3">(J3-K3)/J3</f>
        <v>0.48888888888888887</v>
      </c>
    </row>
    <row r="4" spans="1:13" x14ac:dyDescent="0.25">
      <c r="A4" t="s">
        <v>19</v>
      </c>
      <c r="B4" s="1">
        <v>45660</v>
      </c>
      <c r="C4" t="s">
        <v>20</v>
      </c>
      <c r="D4" t="s">
        <v>21</v>
      </c>
      <c r="E4" t="s">
        <v>22</v>
      </c>
      <c r="F4" t="s">
        <v>23</v>
      </c>
      <c r="G4">
        <v>6</v>
      </c>
      <c r="H4">
        <v>18000</v>
      </c>
      <c r="I4">
        <v>13500</v>
      </c>
      <c r="J4">
        <f t="shared" si="0"/>
        <v>108000</v>
      </c>
      <c r="K4">
        <f t="shared" si="1"/>
        <v>81000</v>
      </c>
      <c r="L4">
        <f t="shared" si="2"/>
        <v>27000</v>
      </c>
      <c r="M4" s="9">
        <f t="shared" si="3"/>
        <v>0.25</v>
      </c>
    </row>
    <row r="5" spans="1:13" x14ac:dyDescent="0.25">
      <c r="A5" t="s">
        <v>24</v>
      </c>
      <c r="B5" s="1">
        <v>45661</v>
      </c>
      <c r="C5" t="s">
        <v>25</v>
      </c>
      <c r="D5" t="s">
        <v>26</v>
      </c>
      <c r="E5" t="s">
        <v>27</v>
      </c>
      <c r="F5" t="s">
        <v>23</v>
      </c>
      <c r="G5">
        <v>7</v>
      </c>
      <c r="H5">
        <v>4500</v>
      </c>
      <c r="I5">
        <v>2800</v>
      </c>
      <c r="J5">
        <f t="shared" si="0"/>
        <v>31500</v>
      </c>
      <c r="K5">
        <f t="shared" si="1"/>
        <v>19600</v>
      </c>
      <c r="L5">
        <f t="shared" si="2"/>
        <v>11900</v>
      </c>
      <c r="M5" s="9">
        <f t="shared" si="3"/>
        <v>0.37777777777777777</v>
      </c>
    </row>
    <row r="6" spans="1:13" x14ac:dyDescent="0.25">
      <c r="A6" t="s">
        <v>28</v>
      </c>
      <c r="B6" s="1">
        <v>45663</v>
      </c>
      <c r="C6" t="s">
        <v>25</v>
      </c>
      <c r="D6" t="s">
        <v>29</v>
      </c>
      <c r="E6" t="s">
        <v>22</v>
      </c>
      <c r="F6" t="s">
        <v>23</v>
      </c>
      <c r="G6">
        <v>4</v>
      </c>
      <c r="H6">
        <v>18900</v>
      </c>
      <c r="I6">
        <v>13500</v>
      </c>
      <c r="J6">
        <f t="shared" si="0"/>
        <v>75600</v>
      </c>
      <c r="K6">
        <f t="shared" si="1"/>
        <v>54000</v>
      </c>
      <c r="L6">
        <f t="shared" si="2"/>
        <v>21600</v>
      </c>
      <c r="M6" s="9">
        <f t="shared" si="3"/>
        <v>0.2857142857142857</v>
      </c>
    </row>
    <row r="7" spans="1:13" x14ac:dyDescent="0.25">
      <c r="A7" t="s">
        <v>30</v>
      </c>
      <c r="B7" s="1">
        <v>45664</v>
      </c>
      <c r="C7" t="s">
        <v>15</v>
      </c>
      <c r="D7" t="s">
        <v>21</v>
      </c>
      <c r="E7" t="s">
        <v>31</v>
      </c>
      <c r="F7" t="s">
        <v>32</v>
      </c>
      <c r="G7">
        <v>7</v>
      </c>
      <c r="H7">
        <v>1200</v>
      </c>
      <c r="I7">
        <v>550</v>
      </c>
      <c r="J7">
        <f t="shared" si="0"/>
        <v>8400</v>
      </c>
      <c r="K7">
        <f t="shared" si="1"/>
        <v>3850</v>
      </c>
      <c r="L7">
        <f t="shared" si="2"/>
        <v>4550</v>
      </c>
      <c r="M7" s="9">
        <f t="shared" si="3"/>
        <v>0.54166666666666663</v>
      </c>
    </row>
    <row r="8" spans="1:13" x14ac:dyDescent="0.25">
      <c r="A8" t="s">
        <v>33</v>
      </c>
      <c r="B8" s="1">
        <v>45664</v>
      </c>
      <c r="C8" t="s">
        <v>10</v>
      </c>
      <c r="D8" t="s">
        <v>21</v>
      </c>
      <c r="E8" t="s">
        <v>31</v>
      </c>
      <c r="F8" t="s">
        <v>32</v>
      </c>
      <c r="G8">
        <v>4</v>
      </c>
      <c r="H8">
        <v>1260</v>
      </c>
      <c r="I8">
        <v>550</v>
      </c>
      <c r="J8">
        <f t="shared" si="0"/>
        <v>5040</v>
      </c>
      <c r="K8">
        <f t="shared" si="1"/>
        <v>2200</v>
      </c>
      <c r="L8">
        <f t="shared" si="2"/>
        <v>2840</v>
      </c>
      <c r="M8" s="9">
        <f t="shared" si="3"/>
        <v>0.56349206349206349</v>
      </c>
    </row>
    <row r="9" spans="1:13" x14ac:dyDescent="0.25">
      <c r="A9" t="s">
        <v>34</v>
      </c>
      <c r="B9" s="1">
        <v>45665</v>
      </c>
      <c r="C9" t="s">
        <v>15</v>
      </c>
      <c r="D9" t="s">
        <v>29</v>
      </c>
      <c r="E9" t="s">
        <v>35</v>
      </c>
      <c r="F9" t="s">
        <v>32</v>
      </c>
      <c r="G9">
        <v>6</v>
      </c>
      <c r="H9">
        <v>2500</v>
      </c>
      <c r="I9">
        <v>1300</v>
      </c>
      <c r="J9">
        <f t="shared" si="0"/>
        <v>15000</v>
      </c>
      <c r="K9">
        <f t="shared" si="1"/>
        <v>7800</v>
      </c>
      <c r="L9">
        <f t="shared" si="2"/>
        <v>7200</v>
      </c>
      <c r="M9" s="9">
        <f t="shared" si="3"/>
        <v>0.48</v>
      </c>
    </row>
    <row r="10" spans="1:13" x14ac:dyDescent="0.25">
      <c r="A10" t="s">
        <v>36</v>
      </c>
      <c r="B10" s="1">
        <v>45665</v>
      </c>
      <c r="C10" t="s">
        <v>15</v>
      </c>
      <c r="D10" t="s">
        <v>37</v>
      </c>
      <c r="E10" t="s">
        <v>27</v>
      </c>
      <c r="F10" t="s">
        <v>23</v>
      </c>
      <c r="G10">
        <v>3</v>
      </c>
      <c r="H10">
        <v>4500</v>
      </c>
      <c r="I10">
        <v>2800</v>
      </c>
      <c r="J10">
        <f t="shared" si="0"/>
        <v>13500</v>
      </c>
      <c r="K10">
        <f t="shared" si="1"/>
        <v>8400</v>
      </c>
      <c r="L10">
        <f t="shared" si="2"/>
        <v>5100</v>
      </c>
      <c r="M10" s="9">
        <f t="shared" si="3"/>
        <v>0.37777777777777777</v>
      </c>
    </row>
    <row r="11" spans="1:13" x14ac:dyDescent="0.25">
      <c r="A11" t="s">
        <v>38</v>
      </c>
      <c r="B11" s="1">
        <v>45666</v>
      </c>
      <c r="C11" t="s">
        <v>39</v>
      </c>
      <c r="D11" t="s">
        <v>16</v>
      </c>
      <c r="E11" t="s">
        <v>22</v>
      </c>
      <c r="F11" t="s">
        <v>23</v>
      </c>
      <c r="G11">
        <v>1</v>
      </c>
      <c r="H11">
        <v>18000</v>
      </c>
      <c r="I11">
        <v>13500</v>
      </c>
      <c r="J11">
        <f t="shared" si="0"/>
        <v>18000</v>
      </c>
      <c r="K11">
        <f t="shared" si="1"/>
        <v>13500</v>
      </c>
      <c r="L11">
        <f t="shared" si="2"/>
        <v>4500</v>
      </c>
      <c r="M11" s="9">
        <f t="shared" si="3"/>
        <v>0.25</v>
      </c>
    </row>
    <row r="12" spans="1:13" x14ac:dyDescent="0.25">
      <c r="A12" t="s">
        <v>40</v>
      </c>
      <c r="B12" s="1">
        <v>45666</v>
      </c>
      <c r="C12" t="s">
        <v>15</v>
      </c>
      <c r="D12" t="s">
        <v>37</v>
      </c>
      <c r="E12" t="s">
        <v>17</v>
      </c>
      <c r="F12" t="s">
        <v>18</v>
      </c>
      <c r="G12">
        <v>3</v>
      </c>
      <c r="H12">
        <v>450</v>
      </c>
      <c r="I12">
        <v>230</v>
      </c>
      <c r="J12">
        <f t="shared" si="0"/>
        <v>1350</v>
      </c>
      <c r="K12">
        <f t="shared" si="1"/>
        <v>690</v>
      </c>
      <c r="L12">
        <f t="shared" si="2"/>
        <v>660</v>
      </c>
      <c r="M12" s="9">
        <f t="shared" si="3"/>
        <v>0.48888888888888887</v>
      </c>
    </row>
    <row r="13" spans="1:13" x14ac:dyDescent="0.25">
      <c r="A13" t="s">
        <v>41</v>
      </c>
      <c r="B13" s="1">
        <v>45666</v>
      </c>
      <c r="C13" t="s">
        <v>20</v>
      </c>
      <c r="D13" t="s">
        <v>16</v>
      </c>
      <c r="E13" t="s">
        <v>27</v>
      </c>
      <c r="F13" t="s">
        <v>23</v>
      </c>
      <c r="G13">
        <v>7</v>
      </c>
      <c r="H13">
        <v>4500</v>
      </c>
      <c r="I13">
        <v>2800</v>
      </c>
      <c r="J13">
        <f t="shared" si="0"/>
        <v>31500</v>
      </c>
      <c r="K13">
        <f t="shared" si="1"/>
        <v>19600</v>
      </c>
      <c r="L13">
        <f t="shared" si="2"/>
        <v>11900</v>
      </c>
      <c r="M13" s="9">
        <f t="shared" si="3"/>
        <v>0.37777777777777777</v>
      </c>
    </row>
    <row r="14" spans="1:13" x14ac:dyDescent="0.25">
      <c r="A14" t="s">
        <v>42</v>
      </c>
      <c r="B14" s="1">
        <v>45667</v>
      </c>
      <c r="C14" t="s">
        <v>10</v>
      </c>
      <c r="D14" t="s">
        <v>21</v>
      </c>
      <c r="E14" t="s">
        <v>43</v>
      </c>
      <c r="F14" t="s">
        <v>13</v>
      </c>
      <c r="G14">
        <v>1</v>
      </c>
      <c r="H14">
        <v>12500</v>
      </c>
      <c r="I14">
        <v>8500</v>
      </c>
      <c r="J14">
        <f t="shared" si="0"/>
        <v>12500</v>
      </c>
      <c r="K14">
        <f t="shared" si="1"/>
        <v>8500</v>
      </c>
      <c r="L14">
        <f t="shared" si="2"/>
        <v>4000</v>
      </c>
      <c r="M14" s="9">
        <f t="shared" si="3"/>
        <v>0.32</v>
      </c>
    </row>
    <row r="15" spans="1:13" x14ac:dyDescent="0.25">
      <c r="A15" t="s">
        <v>44</v>
      </c>
      <c r="B15" s="1">
        <v>45667</v>
      </c>
      <c r="C15" t="s">
        <v>15</v>
      </c>
      <c r="D15" t="s">
        <v>21</v>
      </c>
      <c r="E15" t="s">
        <v>12</v>
      </c>
      <c r="F15" t="s">
        <v>13</v>
      </c>
      <c r="G15">
        <v>5</v>
      </c>
      <c r="H15">
        <v>22000</v>
      </c>
      <c r="I15">
        <v>15500</v>
      </c>
      <c r="J15">
        <f t="shared" si="0"/>
        <v>110000</v>
      </c>
      <c r="K15">
        <f t="shared" si="1"/>
        <v>77500</v>
      </c>
      <c r="L15">
        <f t="shared" si="2"/>
        <v>32500</v>
      </c>
      <c r="M15" s="9">
        <f t="shared" si="3"/>
        <v>0.29545454545454547</v>
      </c>
    </row>
    <row r="16" spans="1:13" x14ac:dyDescent="0.25">
      <c r="A16" t="s">
        <v>45</v>
      </c>
      <c r="B16" s="1">
        <v>45669</v>
      </c>
      <c r="C16" t="s">
        <v>15</v>
      </c>
      <c r="D16" t="s">
        <v>11</v>
      </c>
      <c r="E16" t="s">
        <v>17</v>
      </c>
      <c r="F16" t="s">
        <v>18</v>
      </c>
      <c r="G16">
        <v>7</v>
      </c>
      <c r="H16">
        <v>450</v>
      </c>
      <c r="I16">
        <v>230</v>
      </c>
      <c r="J16">
        <f t="shared" si="0"/>
        <v>3150</v>
      </c>
      <c r="K16">
        <f t="shared" si="1"/>
        <v>1610</v>
      </c>
      <c r="L16">
        <f t="shared" si="2"/>
        <v>1540</v>
      </c>
      <c r="M16" s="9">
        <f t="shared" si="3"/>
        <v>0.48888888888888887</v>
      </c>
    </row>
    <row r="17" spans="1:13" x14ac:dyDescent="0.25">
      <c r="A17" t="s">
        <v>46</v>
      </c>
      <c r="B17" s="1">
        <v>45669</v>
      </c>
      <c r="C17" t="s">
        <v>15</v>
      </c>
      <c r="D17" t="s">
        <v>11</v>
      </c>
      <c r="E17" t="s">
        <v>35</v>
      </c>
      <c r="F17" t="s">
        <v>32</v>
      </c>
      <c r="G17">
        <v>8</v>
      </c>
      <c r="H17">
        <v>2625</v>
      </c>
      <c r="I17">
        <v>1300</v>
      </c>
      <c r="J17">
        <f t="shared" si="0"/>
        <v>21000</v>
      </c>
      <c r="K17">
        <f t="shared" si="1"/>
        <v>10400</v>
      </c>
      <c r="L17">
        <f t="shared" si="2"/>
        <v>10600</v>
      </c>
      <c r="M17" s="9">
        <f t="shared" si="3"/>
        <v>0.50476190476190474</v>
      </c>
    </row>
    <row r="18" spans="1:13" x14ac:dyDescent="0.25">
      <c r="A18" t="s">
        <v>47</v>
      </c>
      <c r="B18" s="1">
        <v>45670</v>
      </c>
      <c r="C18" t="s">
        <v>10</v>
      </c>
      <c r="D18" t="s">
        <v>37</v>
      </c>
      <c r="E18" t="s">
        <v>17</v>
      </c>
      <c r="F18" t="s">
        <v>18</v>
      </c>
      <c r="G18">
        <v>7</v>
      </c>
      <c r="H18">
        <v>450</v>
      </c>
      <c r="I18">
        <v>230</v>
      </c>
      <c r="J18">
        <f t="shared" si="0"/>
        <v>3150</v>
      </c>
      <c r="K18">
        <f t="shared" si="1"/>
        <v>1610</v>
      </c>
      <c r="L18">
        <f t="shared" si="2"/>
        <v>1540</v>
      </c>
      <c r="M18" s="9">
        <f t="shared" si="3"/>
        <v>0.48888888888888887</v>
      </c>
    </row>
    <row r="19" spans="1:13" x14ac:dyDescent="0.25">
      <c r="A19" t="s">
        <v>48</v>
      </c>
      <c r="B19" s="1">
        <v>45671</v>
      </c>
      <c r="C19" t="s">
        <v>15</v>
      </c>
      <c r="D19" t="s">
        <v>29</v>
      </c>
      <c r="E19" t="s">
        <v>17</v>
      </c>
      <c r="F19" t="s">
        <v>18</v>
      </c>
      <c r="G19">
        <v>4</v>
      </c>
      <c r="H19">
        <v>450</v>
      </c>
      <c r="I19">
        <v>230</v>
      </c>
      <c r="J19">
        <f t="shared" si="0"/>
        <v>1800</v>
      </c>
      <c r="K19">
        <f t="shared" si="1"/>
        <v>920</v>
      </c>
      <c r="L19">
        <f t="shared" si="2"/>
        <v>880</v>
      </c>
      <c r="M19" s="9">
        <f t="shared" si="3"/>
        <v>0.48888888888888887</v>
      </c>
    </row>
    <row r="20" spans="1:13" x14ac:dyDescent="0.25">
      <c r="A20" t="s">
        <v>49</v>
      </c>
      <c r="B20" s="1">
        <v>45671</v>
      </c>
      <c r="C20" t="s">
        <v>20</v>
      </c>
      <c r="D20" t="s">
        <v>16</v>
      </c>
      <c r="E20" t="s">
        <v>50</v>
      </c>
      <c r="F20" t="s">
        <v>18</v>
      </c>
      <c r="G20">
        <v>1</v>
      </c>
      <c r="H20">
        <v>26400</v>
      </c>
      <c r="I20">
        <v>18500</v>
      </c>
      <c r="J20">
        <f t="shared" si="0"/>
        <v>26400</v>
      </c>
      <c r="K20">
        <f t="shared" si="1"/>
        <v>18500</v>
      </c>
      <c r="L20">
        <f t="shared" si="2"/>
        <v>7900</v>
      </c>
      <c r="M20" s="9">
        <f t="shared" si="3"/>
        <v>0.29924242424242425</v>
      </c>
    </row>
    <row r="21" spans="1:13" x14ac:dyDescent="0.25">
      <c r="A21" t="s">
        <v>51</v>
      </c>
      <c r="B21" s="1">
        <v>45673</v>
      </c>
      <c r="C21" t="s">
        <v>10</v>
      </c>
      <c r="D21" t="s">
        <v>29</v>
      </c>
      <c r="E21" t="s">
        <v>12</v>
      </c>
      <c r="F21" t="s">
        <v>13</v>
      </c>
      <c r="G21">
        <v>4</v>
      </c>
      <c r="H21">
        <v>23100</v>
      </c>
      <c r="I21">
        <v>15500</v>
      </c>
      <c r="J21">
        <f t="shared" si="0"/>
        <v>92400</v>
      </c>
      <c r="K21">
        <f t="shared" si="1"/>
        <v>62000</v>
      </c>
      <c r="L21">
        <f t="shared" si="2"/>
        <v>30400</v>
      </c>
      <c r="M21" s="9">
        <f t="shared" si="3"/>
        <v>0.32900432900432902</v>
      </c>
    </row>
    <row r="22" spans="1:13" x14ac:dyDescent="0.25">
      <c r="A22" t="s">
        <v>52</v>
      </c>
      <c r="B22" s="1">
        <v>45673</v>
      </c>
      <c r="C22" t="s">
        <v>15</v>
      </c>
      <c r="D22" t="s">
        <v>26</v>
      </c>
      <c r="E22" t="s">
        <v>31</v>
      </c>
      <c r="F22" t="s">
        <v>32</v>
      </c>
      <c r="G22">
        <v>8</v>
      </c>
      <c r="H22">
        <v>1200</v>
      </c>
      <c r="I22">
        <v>550</v>
      </c>
      <c r="J22">
        <f t="shared" si="0"/>
        <v>9600</v>
      </c>
      <c r="K22">
        <f t="shared" si="1"/>
        <v>4400</v>
      </c>
      <c r="L22">
        <f t="shared" si="2"/>
        <v>5200</v>
      </c>
      <c r="M22" s="9">
        <f t="shared" si="3"/>
        <v>0.54166666666666663</v>
      </c>
    </row>
    <row r="23" spans="1:13" x14ac:dyDescent="0.25">
      <c r="A23" t="s">
        <v>53</v>
      </c>
      <c r="B23" s="1">
        <v>45674</v>
      </c>
      <c r="C23" t="s">
        <v>39</v>
      </c>
      <c r="D23" t="s">
        <v>26</v>
      </c>
      <c r="E23" t="s">
        <v>27</v>
      </c>
      <c r="F23" t="s">
        <v>23</v>
      </c>
      <c r="G23">
        <v>5</v>
      </c>
      <c r="H23">
        <v>4500</v>
      </c>
      <c r="I23">
        <v>2800</v>
      </c>
      <c r="J23">
        <f t="shared" si="0"/>
        <v>22500</v>
      </c>
      <c r="K23">
        <f t="shared" si="1"/>
        <v>14000</v>
      </c>
      <c r="L23">
        <f t="shared" si="2"/>
        <v>8500</v>
      </c>
      <c r="M23" s="9">
        <f t="shared" si="3"/>
        <v>0.37777777777777777</v>
      </c>
    </row>
    <row r="24" spans="1:13" x14ac:dyDescent="0.25">
      <c r="A24" t="s">
        <v>54</v>
      </c>
      <c r="B24" s="1">
        <v>45674</v>
      </c>
      <c r="C24" t="s">
        <v>25</v>
      </c>
      <c r="D24" t="s">
        <v>21</v>
      </c>
      <c r="E24" t="s">
        <v>35</v>
      </c>
      <c r="F24" t="s">
        <v>32</v>
      </c>
      <c r="G24">
        <v>2</v>
      </c>
      <c r="H24">
        <v>2250</v>
      </c>
      <c r="I24">
        <v>1300</v>
      </c>
      <c r="J24">
        <f t="shared" si="0"/>
        <v>4500</v>
      </c>
      <c r="K24">
        <f t="shared" si="1"/>
        <v>2600</v>
      </c>
      <c r="L24">
        <f t="shared" si="2"/>
        <v>1900</v>
      </c>
      <c r="M24" s="9">
        <f t="shared" si="3"/>
        <v>0.42222222222222222</v>
      </c>
    </row>
    <row r="25" spans="1:13" x14ac:dyDescent="0.25">
      <c r="A25" t="s">
        <v>55</v>
      </c>
      <c r="B25" s="1">
        <v>45679</v>
      </c>
      <c r="C25" t="s">
        <v>10</v>
      </c>
      <c r="D25" t="s">
        <v>11</v>
      </c>
      <c r="E25" t="s">
        <v>31</v>
      </c>
      <c r="F25" t="s">
        <v>32</v>
      </c>
      <c r="G25">
        <v>2</v>
      </c>
      <c r="H25">
        <v>1200</v>
      </c>
      <c r="I25">
        <v>550</v>
      </c>
      <c r="J25">
        <f t="shared" si="0"/>
        <v>2400</v>
      </c>
      <c r="K25">
        <f t="shared" si="1"/>
        <v>1100</v>
      </c>
      <c r="L25">
        <f t="shared" si="2"/>
        <v>1300</v>
      </c>
      <c r="M25" s="9">
        <f t="shared" si="3"/>
        <v>0.54166666666666663</v>
      </c>
    </row>
    <row r="26" spans="1:13" x14ac:dyDescent="0.25">
      <c r="A26" t="s">
        <v>56</v>
      </c>
      <c r="B26" s="1">
        <v>45681</v>
      </c>
      <c r="C26" t="s">
        <v>20</v>
      </c>
      <c r="D26" t="s">
        <v>21</v>
      </c>
      <c r="E26" t="s">
        <v>50</v>
      </c>
      <c r="F26" t="s">
        <v>18</v>
      </c>
      <c r="G26">
        <v>1</v>
      </c>
      <c r="H26">
        <v>24000</v>
      </c>
      <c r="I26">
        <v>18500</v>
      </c>
      <c r="J26">
        <f t="shared" si="0"/>
        <v>24000</v>
      </c>
      <c r="K26">
        <f t="shared" si="1"/>
        <v>18500</v>
      </c>
      <c r="L26">
        <f t="shared" si="2"/>
        <v>5500</v>
      </c>
      <c r="M26" s="9">
        <f t="shared" si="3"/>
        <v>0.22916666666666666</v>
      </c>
    </row>
    <row r="27" spans="1:13" x14ac:dyDescent="0.25">
      <c r="A27" t="s">
        <v>57</v>
      </c>
      <c r="B27" s="1">
        <v>45681</v>
      </c>
      <c r="C27" t="s">
        <v>25</v>
      </c>
      <c r="D27" t="s">
        <v>21</v>
      </c>
      <c r="E27" t="s">
        <v>12</v>
      </c>
      <c r="F27" t="s">
        <v>13</v>
      </c>
      <c r="G27">
        <v>2</v>
      </c>
      <c r="H27">
        <v>22000</v>
      </c>
      <c r="I27">
        <v>15500</v>
      </c>
      <c r="J27">
        <f t="shared" si="0"/>
        <v>44000</v>
      </c>
      <c r="K27">
        <f t="shared" si="1"/>
        <v>31000</v>
      </c>
      <c r="L27">
        <f t="shared" si="2"/>
        <v>13000</v>
      </c>
      <c r="M27" s="9">
        <f t="shared" si="3"/>
        <v>0.29545454545454547</v>
      </c>
    </row>
    <row r="28" spans="1:13" x14ac:dyDescent="0.25">
      <c r="A28" t="s">
        <v>58</v>
      </c>
      <c r="B28" s="1">
        <v>45682</v>
      </c>
      <c r="C28" t="s">
        <v>15</v>
      </c>
      <c r="D28" t="s">
        <v>29</v>
      </c>
      <c r="E28" t="s">
        <v>59</v>
      </c>
      <c r="F28" t="s">
        <v>32</v>
      </c>
      <c r="G28">
        <v>1</v>
      </c>
      <c r="H28">
        <v>900</v>
      </c>
      <c r="I28">
        <v>400</v>
      </c>
      <c r="J28">
        <f t="shared" si="0"/>
        <v>900</v>
      </c>
      <c r="K28">
        <f t="shared" si="1"/>
        <v>400</v>
      </c>
      <c r="L28">
        <f t="shared" si="2"/>
        <v>500</v>
      </c>
      <c r="M28" s="9">
        <f t="shared" si="3"/>
        <v>0.55555555555555558</v>
      </c>
    </row>
    <row r="29" spans="1:13" x14ac:dyDescent="0.25">
      <c r="A29" t="s">
        <v>60</v>
      </c>
      <c r="B29" s="1">
        <v>45682</v>
      </c>
      <c r="C29" t="s">
        <v>39</v>
      </c>
      <c r="D29" t="s">
        <v>16</v>
      </c>
      <c r="E29" t="s">
        <v>35</v>
      </c>
      <c r="F29" t="s">
        <v>32</v>
      </c>
      <c r="G29">
        <v>3</v>
      </c>
      <c r="H29">
        <v>2250</v>
      </c>
      <c r="I29">
        <v>1300</v>
      </c>
      <c r="J29">
        <f t="shared" si="0"/>
        <v>6750</v>
      </c>
      <c r="K29">
        <f t="shared" si="1"/>
        <v>3900</v>
      </c>
      <c r="L29">
        <f t="shared" si="2"/>
        <v>2850</v>
      </c>
      <c r="M29" s="9">
        <f t="shared" si="3"/>
        <v>0.42222222222222222</v>
      </c>
    </row>
    <row r="30" spans="1:13" x14ac:dyDescent="0.25">
      <c r="A30" t="s">
        <v>61</v>
      </c>
      <c r="B30" s="1">
        <v>45685</v>
      </c>
      <c r="C30" t="s">
        <v>25</v>
      </c>
      <c r="D30" t="s">
        <v>37</v>
      </c>
      <c r="E30" t="s">
        <v>22</v>
      </c>
      <c r="F30" t="s">
        <v>23</v>
      </c>
      <c r="G30">
        <v>2</v>
      </c>
      <c r="H30">
        <v>18000</v>
      </c>
      <c r="I30">
        <v>13500</v>
      </c>
      <c r="J30">
        <f t="shared" si="0"/>
        <v>36000</v>
      </c>
      <c r="K30">
        <f t="shared" si="1"/>
        <v>27000</v>
      </c>
      <c r="L30">
        <f t="shared" si="2"/>
        <v>9000</v>
      </c>
      <c r="M30" s="9">
        <f t="shared" si="3"/>
        <v>0.25</v>
      </c>
    </row>
    <row r="31" spans="1:13" x14ac:dyDescent="0.25">
      <c r="A31" t="s">
        <v>62</v>
      </c>
      <c r="B31" s="1">
        <v>45686</v>
      </c>
      <c r="C31" t="s">
        <v>39</v>
      </c>
      <c r="D31" t="s">
        <v>21</v>
      </c>
      <c r="E31" t="s">
        <v>27</v>
      </c>
      <c r="F31" t="s">
        <v>23</v>
      </c>
      <c r="G31">
        <v>6</v>
      </c>
      <c r="H31">
        <v>4500</v>
      </c>
      <c r="I31">
        <v>2800</v>
      </c>
      <c r="J31">
        <f t="shared" si="0"/>
        <v>27000</v>
      </c>
      <c r="K31">
        <f t="shared" si="1"/>
        <v>16800</v>
      </c>
      <c r="L31">
        <f t="shared" si="2"/>
        <v>10200</v>
      </c>
      <c r="M31" s="9">
        <f t="shared" si="3"/>
        <v>0.37777777777777777</v>
      </c>
    </row>
    <row r="32" spans="1:13" x14ac:dyDescent="0.25">
      <c r="A32" t="s">
        <v>63</v>
      </c>
      <c r="B32" s="1">
        <v>45686</v>
      </c>
      <c r="C32" t="s">
        <v>10</v>
      </c>
      <c r="D32" t="s">
        <v>29</v>
      </c>
      <c r="E32" t="s">
        <v>50</v>
      </c>
      <c r="F32" t="s">
        <v>18</v>
      </c>
      <c r="G32">
        <v>3</v>
      </c>
      <c r="H32">
        <v>24000</v>
      </c>
      <c r="I32">
        <v>18500</v>
      </c>
      <c r="J32">
        <f t="shared" si="0"/>
        <v>72000</v>
      </c>
      <c r="K32">
        <f t="shared" si="1"/>
        <v>55500</v>
      </c>
      <c r="L32">
        <f t="shared" si="2"/>
        <v>16500</v>
      </c>
      <c r="M32" s="9">
        <f t="shared" si="3"/>
        <v>0.22916666666666666</v>
      </c>
    </row>
    <row r="33" spans="1:13" x14ac:dyDescent="0.25">
      <c r="A33" t="s">
        <v>64</v>
      </c>
      <c r="B33" s="1">
        <v>45687</v>
      </c>
      <c r="C33" t="s">
        <v>10</v>
      </c>
      <c r="D33" t="s">
        <v>37</v>
      </c>
      <c r="E33" t="s">
        <v>27</v>
      </c>
      <c r="F33" t="s">
        <v>23</v>
      </c>
      <c r="G33">
        <v>3</v>
      </c>
      <c r="H33">
        <v>4500</v>
      </c>
      <c r="I33">
        <v>2800</v>
      </c>
      <c r="J33">
        <f t="shared" si="0"/>
        <v>13500</v>
      </c>
      <c r="K33">
        <f t="shared" si="1"/>
        <v>8400</v>
      </c>
      <c r="L33">
        <f t="shared" si="2"/>
        <v>5100</v>
      </c>
      <c r="M33" s="9">
        <f t="shared" si="3"/>
        <v>0.37777777777777777</v>
      </c>
    </row>
    <row r="34" spans="1:13" x14ac:dyDescent="0.25">
      <c r="A34" t="s">
        <v>65</v>
      </c>
      <c r="B34" s="1">
        <v>45688</v>
      </c>
      <c r="C34" t="s">
        <v>25</v>
      </c>
      <c r="D34" t="s">
        <v>21</v>
      </c>
      <c r="E34" t="s">
        <v>35</v>
      </c>
      <c r="F34" t="s">
        <v>32</v>
      </c>
      <c r="G34">
        <v>4</v>
      </c>
      <c r="H34">
        <v>2500</v>
      </c>
      <c r="I34">
        <v>1300</v>
      </c>
      <c r="J34">
        <f t="shared" si="0"/>
        <v>10000</v>
      </c>
      <c r="K34">
        <f t="shared" si="1"/>
        <v>5200</v>
      </c>
      <c r="L34">
        <f t="shared" si="2"/>
        <v>4800</v>
      </c>
      <c r="M34" s="9">
        <f t="shared" si="3"/>
        <v>0.48</v>
      </c>
    </row>
    <row r="35" spans="1:13" x14ac:dyDescent="0.25">
      <c r="A35" t="s">
        <v>66</v>
      </c>
      <c r="B35" s="1">
        <v>45688</v>
      </c>
      <c r="C35" t="s">
        <v>25</v>
      </c>
      <c r="D35" t="s">
        <v>16</v>
      </c>
      <c r="E35" t="s">
        <v>35</v>
      </c>
      <c r="F35" t="s">
        <v>32</v>
      </c>
      <c r="G35">
        <v>8</v>
      </c>
      <c r="H35">
        <v>2500</v>
      </c>
      <c r="I35">
        <v>1300</v>
      </c>
      <c r="J35">
        <f t="shared" si="0"/>
        <v>20000</v>
      </c>
      <c r="K35">
        <f t="shared" si="1"/>
        <v>10400</v>
      </c>
      <c r="L35">
        <f t="shared" si="2"/>
        <v>9600</v>
      </c>
      <c r="M35" s="9">
        <f t="shared" si="3"/>
        <v>0.48</v>
      </c>
    </row>
    <row r="36" spans="1:13" x14ac:dyDescent="0.25">
      <c r="A36" t="s">
        <v>67</v>
      </c>
      <c r="B36" s="1">
        <v>45688</v>
      </c>
      <c r="C36" t="s">
        <v>20</v>
      </c>
      <c r="D36" t="s">
        <v>37</v>
      </c>
      <c r="E36" t="s">
        <v>35</v>
      </c>
      <c r="F36" t="s">
        <v>32</v>
      </c>
      <c r="G36">
        <v>4</v>
      </c>
      <c r="H36">
        <v>2500</v>
      </c>
      <c r="I36">
        <v>1300</v>
      </c>
      <c r="J36">
        <f t="shared" si="0"/>
        <v>10000</v>
      </c>
      <c r="K36">
        <f t="shared" si="1"/>
        <v>5200</v>
      </c>
      <c r="L36">
        <f t="shared" si="2"/>
        <v>4800</v>
      </c>
      <c r="M36" s="9">
        <f t="shared" si="3"/>
        <v>0.48</v>
      </c>
    </row>
    <row r="37" spans="1:13" x14ac:dyDescent="0.25">
      <c r="A37" t="s">
        <v>68</v>
      </c>
      <c r="B37" s="1">
        <v>45689</v>
      </c>
      <c r="C37" t="s">
        <v>25</v>
      </c>
      <c r="D37" t="s">
        <v>26</v>
      </c>
      <c r="E37" t="s">
        <v>50</v>
      </c>
      <c r="F37" t="s">
        <v>18</v>
      </c>
      <c r="G37">
        <v>7</v>
      </c>
      <c r="H37">
        <v>24000</v>
      </c>
      <c r="I37">
        <v>18500</v>
      </c>
      <c r="J37">
        <f t="shared" si="0"/>
        <v>168000</v>
      </c>
      <c r="K37">
        <f t="shared" si="1"/>
        <v>129500</v>
      </c>
      <c r="L37">
        <f t="shared" si="2"/>
        <v>38500</v>
      </c>
      <c r="M37" s="9">
        <f t="shared" si="3"/>
        <v>0.22916666666666666</v>
      </c>
    </row>
    <row r="38" spans="1:13" x14ac:dyDescent="0.25">
      <c r="A38" t="s">
        <v>69</v>
      </c>
      <c r="B38" s="1">
        <v>45689</v>
      </c>
      <c r="C38" t="s">
        <v>10</v>
      </c>
      <c r="D38" t="s">
        <v>11</v>
      </c>
      <c r="E38" t="s">
        <v>43</v>
      </c>
      <c r="F38" t="s">
        <v>13</v>
      </c>
      <c r="G38">
        <v>2</v>
      </c>
      <c r="H38">
        <v>12500</v>
      </c>
      <c r="I38">
        <v>8500</v>
      </c>
      <c r="J38">
        <f t="shared" si="0"/>
        <v>25000</v>
      </c>
      <c r="K38">
        <f t="shared" si="1"/>
        <v>17000</v>
      </c>
      <c r="L38">
        <f t="shared" si="2"/>
        <v>8000</v>
      </c>
      <c r="M38" s="9">
        <f t="shared" si="3"/>
        <v>0.32</v>
      </c>
    </row>
    <row r="39" spans="1:13" x14ac:dyDescent="0.25">
      <c r="A39" t="s">
        <v>70</v>
      </c>
      <c r="B39" s="1">
        <v>45690</v>
      </c>
      <c r="C39" t="s">
        <v>15</v>
      </c>
      <c r="D39" t="s">
        <v>29</v>
      </c>
      <c r="E39" t="s">
        <v>17</v>
      </c>
      <c r="F39" t="s">
        <v>18</v>
      </c>
      <c r="G39">
        <v>1</v>
      </c>
      <c r="H39">
        <v>495</v>
      </c>
      <c r="I39">
        <v>230</v>
      </c>
      <c r="J39">
        <f t="shared" si="0"/>
        <v>495</v>
      </c>
      <c r="K39">
        <f t="shared" si="1"/>
        <v>230</v>
      </c>
      <c r="L39">
        <f t="shared" si="2"/>
        <v>265</v>
      </c>
      <c r="M39" s="9">
        <f t="shared" si="3"/>
        <v>0.53535353535353536</v>
      </c>
    </row>
    <row r="40" spans="1:13" x14ac:dyDescent="0.25">
      <c r="A40" t="s">
        <v>71</v>
      </c>
      <c r="B40" s="1">
        <v>45690</v>
      </c>
      <c r="C40" t="s">
        <v>15</v>
      </c>
      <c r="D40" t="s">
        <v>16</v>
      </c>
      <c r="E40" t="s">
        <v>50</v>
      </c>
      <c r="F40" t="s">
        <v>18</v>
      </c>
      <c r="G40">
        <v>8</v>
      </c>
      <c r="H40">
        <v>24000</v>
      </c>
      <c r="I40">
        <v>18500</v>
      </c>
      <c r="J40">
        <f t="shared" si="0"/>
        <v>192000</v>
      </c>
      <c r="K40">
        <f t="shared" si="1"/>
        <v>148000</v>
      </c>
      <c r="L40">
        <f t="shared" si="2"/>
        <v>44000</v>
      </c>
      <c r="M40" s="9">
        <f t="shared" si="3"/>
        <v>0.22916666666666666</v>
      </c>
    </row>
    <row r="41" spans="1:13" x14ac:dyDescent="0.25">
      <c r="A41" t="s">
        <v>72</v>
      </c>
      <c r="B41" s="1">
        <v>45691</v>
      </c>
      <c r="C41" t="s">
        <v>10</v>
      </c>
      <c r="D41" t="s">
        <v>16</v>
      </c>
      <c r="E41" t="s">
        <v>17</v>
      </c>
      <c r="F41" t="s">
        <v>18</v>
      </c>
      <c r="G41">
        <v>8</v>
      </c>
      <c r="H41">
        <v>450</v>
      </c>
      <c r="I41">
        <v>230</v>
      </c>
      <c r="J41">
        <f t="shared" si="0"/>
        <v>3600</v>
      </c>
      <c r="K41">
        <f t="shared" si="1"/>
        <v>1840</v>
      </c>
      <c r="L41">
        <f t="shared" si="2"/>
        <v>1760</v>
      </c>
      <c r="M41" s="9">
        <f t="shared" si="3"/>
        <v>0.48888888888888887</v>
      </c>
    </row>
    <row r="42" spans="1:13" x14ac:dyDescent="0.25">
      <c r="A42" t="s">
        <v>73</v>
      </c>
      <c r="B42" s="1">
        <v>45691</v>
      </c>
      <c r="C42" t="s">
        <v>15</v>
      </c>
      <c r="D42" t="s">
        <v>29</v>
      </c>
      <c r="E42" t="s">
        <v>17</v>
      </c>
      <c r="F42" t="s">
        <v>18</v>
      </c>
      <c r="G42">
        <v>5</v>
      </c>
      <c r="H42">
        <v>450</v>
      </c>
      <c r="I42">
        <v>230</v>
      </c>
      <c r="J42">
        <f t="shared" si="0"/>
        <v>2250</v>
      </c>
      <c r="K42">
        <f t="shared" si="1"/>
        <v>1150</v>
      </c>
      <c r="L42">
        <f t="shared" si="2"/>
        <v>1100</v>
      </c>
      <c r="M42" s="9">
        <f t="shared" si="3"/>
        <v>0.48888888888888887</v>
      </c>
    </row>
    <row r="43" spans="1:13" x14ac:dyDescent="0.25">
      <c r="A43" t="s">
        <v>74</v>
      </c>
      <c r="B43" s="1">
        <v>45691</v>
      </c>
      <c r="C43" t="s">
        <v>10</v>
      </c>
      <c r="D43" t="s">
        <v>11</v>
      </c>
      <c r="E43" t="s">
        <v>31</v>
      </c>
      <c r="F43" t="s">
        <v>32</v>
      </c>
      <c r="G43">
        <v>2</v>
      </c>
      <c r="H43">
        <v>1200</v>
      </c>
      <c r="I43">
        <v>550</v>
      </c>
      <c r="J43">
        <f t="shared" si="0"/>
        <v>2400</v>
      </c>
      <c r="K43">
        <f t="shared" si="1"/>
        <v>1100</v>
      </c>
      <c r="L43">
        <f t="shared" si="2"/>
        <v>1300</v>
      </c>
      <c r="M43" s="9">
        <f t="shared" si="3"/>
        <v>0.54166666666666663</v>
      </c>
    </row>
    <row r="44" spans="1:13" x14ac:dyDescent="0.25">
      <c r="A44" t="s">
        <v>75</v>
      </c>
      <c r="B44" s="1">
        <v>45692</v>
      </c>
      <c r="C44" t="s">
        <v>15</v>
      </c>
      <c r="D44" t="s">
        <v>21</v>
      </c>
      <c r="E44" t="s">
        <v>50</v>
      </c>
      <c r="F44" t="s">
        <v>18</v>
      </c>
      <c r="G44">
        <v>7</v>
      </c>
      <c r="H44">
        <v>21600</v>
      </c>
      <c r="I44">
        <v>18500</v>
      </c>
      <c r="J44">
        <f t="shared" si="0"/>
        <v>151200</v>
      </c>
      <c r="K44">
        <f t="shared" si="1"/>
        <v>129500</v>
      </c>
      <c r="L44">
        <f t="shared" si="2"/>
        <v>21700</v>
      </c>
      <c r="M44" s="9">
        <f t="shared" si="3"/>
        <v>0.14351851851851852</v>
      </c>
    </row>
    <row r="45" spans="1:13" x14ac:dyDescent="0.25">
      <c r="A45" t="s">
        <v>76</v>
      </c>
      <c r="B45" s="1">
        <v>45692</v>
      </c>
      <c r="C45" t="s">
        <v>39</v>
      </c>
      <c r="D45" t="s">
        <v>29</v>
      </c>
      <c r="E45" t="s">
        <v>50</v>
      </c>
      <c r="F45" t="s">
        <v>18</v>
      </c>
      <c r="G45">
        <v>3</v>
      </c>
      <c r="H45">
        <v>25200</v>
      </c>
      <c r="I45">
        <v>18500</v>
      </c>
      <c r="J45">
        <f t="shared" si="0"/>
        <v>75600</v>
      </c>
      <c r="K45">
        <f t="shared" si="1"/>
        <v>55500</v>
      </c>
      <c r="L45">
        <f t="shared" si="2"/>
        <v>20100</v>
      </c>
      <c r="M45" s="9">
        <f t="shared" si="3"/>
        <v>0.26587301587301587</v>
      </c>
    </row>
    <row r="46" spans="1:13" x14ac:dyDescent="0.25">
      <c r="A46" t="s">
        <v>77</v>
      </c>
      <c r="B46" s="1">
        <v>45692</v>
      </c>
      <c r="C46" t="s">
        <v>15</v>
      </c>
      <c r="D46" t="s">
        <v>26</v>
      </c>
      <c r="E46" t="s">
        <v>78</v>
      </c>
      <c r="F46" t="s">
        <v>23</v>
      </c>
      <c r="G46">
        <v>1</v>
      </c>
      <c r="H46">
        <v>65000</v>
      </c>
      <c r="I46">
        <v>52000</v>
      </c>
      <c r="J46">
        <f t="shared" si="0"/>
        <v>65000</v>
      </c>
      <c r="K46">
        <f t="shared" si="1"/>
        <v>52000</v>
      </c>
      <c r="L46">
        <f t="shared" si="2"/>
        <v>13000</v>
      </c>
      <c r="M46" s="9">
        <f t="shared" si="3"/>
        <v>0.2</v>
      </c>
    </row>
    <row r="47" spans="1:13" x14ac:dyDescent="0.25">
      <c r="A47" t="s">
        <v>79</v>
      </c>
      <c r="B47" s="1">
        <v>45693</v>
      </c>
      <c r="C47" t="s">
        <v>20</v>
      </c>
      <c r="D47" t="s">
        <v>29</v>
      </c>
      <c r="E47" t="s">
        <v>78</v>
      </c>
      <c r="F47" t="s">
        <v>23</v>
      </c>
      <c r="G47">
        <v>4</v>
      </c>
      <c r="H47">
        <v>65000</v>
      </c>
      <c r="I47">
        <v>52000</v>
      </c>
      <c r="J47">
        <f t="shared" si="0"/>
        <v>260000</v>
      </c>
      <c r="K47">
        <f t="shared" si="1"/>
        <v>208000</v>
      </c>
      <c r="L47">
        <f t="shared" si="2"/>
        <v>52000</v>
      </c>
      <c r="M47" s="9">
        <f t="shared" si="3"/>
        <v>0.2</v>
      </c>
    </row>
    <row r="48" spans="1:13" x14ac:dyDescent="0.25">
      <c r="A48" t="s">
        <v>80</v>
      </c>
      <c r="B48" s="1">
        <v>45693</v>
      </c>
      <c r="C48" t="s">
        <v>15</v>
      </c>
      <c r="D48" t="s">
        <v>16</v>
      </c>
      <c r="E48" t="s">
        <v>35</v>
      </c>
      <c r="F48" t="s">
        <v>32</v>
      </c>
      <c r="G48">
        <v>4</v>
      </c>
      <c r="H48">
        <v>2500</v>
      </c>
      <c r="I48">
        <v>1300</v>
      </c>
      <c r="J48">
        <f t="shared" si="0"/>
        <v>10000</v>
      </c>
      <c r="K48">
        <f t="shared" si="1"/>
        <v>5200</v>
      </c>
      <c r="L48">
        <f t="shared" si="2"/>
        <v>4800</v>
      </c>
      <c r="M48" s="9">
        <f t="shared" si="3"/>
        <v>0.48</v>
      </c>
    </row>
    <row r="49" spans="1:13" x14ac:dyDescent="0.25">
      <c r="A49" t="s">
        <v>81</v>
      </c>
      <c r="B49" s="1">
        <v>45695</v>
      </c>
      <c r="C49" t="s">
        <v>25</v>
      </c>
      <c r="D49" t="s">
        <v>37</v>
      </c>
      <c r="E49" t="s">
        <v>59</v>
      </c>
      <c r="F49" t="s">
        <v>32</v>
      </c>
      <c r="G49">
        <v>1</v>
      </c>
      <c r="H49">
        <v>900</v>
      </c>
      <c r="I49">
        <v>400</v>
      </c>
      <c r="J49">
        <f t="shared" si="0"/>
        <v>900</v>
      </c>
      <c r="K49">
        <f t="shared" si="1"/>
        <v>400</v>
      </c>
      <c r="L49">
        <f t="shared" si="2"/>
        <v>500</v>
      </c>
      <c r="M49" s="9">
        <f t="shared" si="3"/>
        <v>0.55555555555555558</v>
      </c>
    </row>
    <row r="50" spans="1:13" x14ac:dyDescent="0.25">
      <c r="A50" t="s">
        <v>82</v>
      </c>
      <c r="B50" s="1">
        <v>45696</v>
      </c>
      <c r="C50" t="s">
        <v>25</v>
      </c>
      <c r="D50" t="s">
        <v>26</v>
      </c>
      <c r="E50" t="s">
        <v>31</v>
      </c>
      <c r="F50" t="s">
        <v>32</v>
      </c>
      <c r="G50">
        <v>4</v>
      </c>
      <c r="H50">
        <v>1200</v>
      </c>
      <c r="I50">
        <v>550</v>
      </c>
      <c r="J50">
        <f t="shared" si="0"/>
        <v>4800</v>
      </c>
      <c r="K50">
        <f t="shared" si="1"/>
        <v>2200</v>
      </c>
      <c r="L50">
        <f t="shared" si="2"/>
        <v>2600</v>
      </c>
      <c r="M50" s="9">
        <f t="shared" si="3"/>
        <v>0.54166666666666663</v>
      </c>
    </row>
    <row r="51" spans="1:13" x14ac:dyDescent="0.25">
      <c r="A51" t="s">
        <v>83</v>
      </c>
      <c r="B51" s="1">
        <v>45696</v>
      </c>
      <c r="C51" t="s">
        <v>39</v>
      </c>
      <c r="D51" t="s">
        <v>26</v>
      </c>
      <c r="E51" t="s">
        <v>35</v>
      </c>
      <c r="F51" t="s">
        <v>32</v>
      </c>
      <c r="G51">
        <v>7</v>
      </c>
      <c r="H51">
        <v>2500</v>
      </c>
      <c r="I51">
        <v>1300</v>
      </c>
      <c r="J51">
        <f t="shared" si="0"/>
        <v>17500</v>
      </c>
      <c r="K51">
        <f t="shared" si="1"/>
        <v>9100</v>
      </c>
      <c r="L51">
        <f t="shared" si="2"/>
        <v>8400</v>
      </c>
      <c r="M51" s="9">
        <f t="shared" si="3"/>
        <v>0.48</v>
      </c>
    </row>
    <row r="52" spans="1:13" x14ac:dyDescent="0.25">
      <c r="A52" t="s">
        <v>84</v>
      </c>
      <c r="B52" s="1">
        <v>45697</v>
      </c>
      <c r="C52" t="s">
        <v>25</v>
      </c>
      <c r="D52" t="s">
        <v>26</v>
      </c>
      <c r="E52" t="s">
        <v>27</v>
      </c>
      <c r="F52" t="s">
        <v>23</v>
      </c>
      <c r="G52">
        <v>1</v>
      </c>
      <c r="H52">
        <v>4725</v>
      </c>
      <c r="I52">
        <v>2800</v>
      </c>
      <c r="J52">
        <f t="shared" si="0"/>
        <v>4725</v>
      </c>
      <c r="K52">
        <f t="shared" si="1"/>
        <v>2800</v>
      </c>
      <c r="L52">
        <f t="shared" si="2"/>
        <v>1925</v>
      </c>
      <c r="M52" s="9">
        <f t="shared" si="3"/>
        <v>0.40740740740740738</v>
      </c>
    </row>
    <row r="53" spans="1:13" x14ac:dyDescent="0.25">
      <c r="A53" t="s">
        <v>85</v>
      </c>
      <c r="B53" s="1">
        <v>45697</v>
      </c>
      <c r="C53" t="s">
        <v>39</v>
      </c>
      <c r="D53" t="s">
        <v>26</v>
      </c>
      <c r="E53" t="s">
        <v>78</v>
      </c>
      <c r="F53" t="s">
        <v>23</v>
      </c>
      <c r="G53">
        <v>4</v>
      </c>
      <c r="H53">
        <v>68250</v>
      </c>
      <c r="I53">
        <v>52000</v>
      </c>
      <c r="J53">
        <f t="shared" si="0"/>
        <v>273000</v>
      </c>
      <c r="K53">
        <f t="shared" si="1"/>
        <v>208000</v>
      </c>
      <c r="L53">
        <f t="shared" si="2"/>
        <v>65000</v>
      </c>
      <c r="M53" s="9">
        <f t="shared" si="3"/>
        <v>0.23809523809523808</v>
      </c>
    </row>
    <row r="54" spans="1:13" x14ac:dyDescent="0.25">
      <c r="A54" t="s">
        <v>86</v>
      </c>
      <c r="B54" s="1">
        <v>45697</v>
      </c>
      <c r="C54" t="s">
        <v>25</v>
      </c>
      <c r="D54" t="s">
        <v>26</v>
      </c>
      <c r="E54" t="s">
        <v>59</v>
      </c>
      <c r="F54" t="s">
        <v>32</v>
      </c>
      <c r="G54">
        <v>8</v>
      </c>
      <c r="H54">
        <v>900</v>
      </c>
      <c r="I54">
        <v>400</v>
      </c>
      <c r="J54">
        <f t="shared" si="0"/>
        <v>7200</v>
      </c>
      <c r="K54">
        <f t="shared" si="1"/>
        <v>3200</v>
      </c>
      <c r="L54">
        <f t="shared" si="2"/>
        <v>4000</v>
      </c>
      <c r="M54" s="9">
        <f t="shared" si="3"/>
        <v>0.55555555555555558</v>
      </c>
    </row>
    <row r="55" spans="1:13" x14ac:dyDescent="0.25">
      <c r="A55" t="s">
        <v>87</v>
      </c>
      <c r="B55" s="1">
        <v>45699</v>
      </c>
      <c r="C55" t="s">
        <v>25</v>
      </c>
      <c r="D55" t="s">
        <v>21</v>
      </c>
      <c r="E55" t="s">
        <v>35</v>
      </c>
      <c r="F55" t="s">
        <v>32</v>
      </c>
      <c r="G55">
        <v>5</v>
      </c>
      <c r="H55">
        <v>2500</v>
      </c>
      <c r="I55">
        <v>1300</v>
      </c>
      <c r="J55">
        <f t="shared" si="0"/>
        <v>12500</v>
      </c>
      <c r="K55">
        <f t="shared" si="1"/>
        <v>6500</v>
      </c>
      <c r="L55">
        <f t="shared" si="2"/>
        <v>6000</v>
      </c>
      <c r="M55" s="9">
        <f t="shared" si="3"/>
        <v>0.48</v>
      </c>
    </row>
    <row r="56" spans="1:13" x14ac:dyDescent="0.25">
      <c r="A56" t="s">
        <v>88</v>
      </c>
      <c r="B56" s="1">
        <v>45700</v>
      </c>
      <c r="C56" t="s">
        <v>15</v>
      </c>
      <c r="D56" t="s">
        <v>26</v>
      </c>
      <c r="E56" t="s">
        <v>78</v>
      </c>
      <c r="F56" t="s">
        <v>23</v>
      </c>
      <c r="G56">
        <v>5</v>
      </c>
      <c r="H56">
        <v>68250</v>
      </c>
      <c r="I56">
        <v>52000</v>
      </c>
      <c r="J56">
        <f t="shared" si="0"/>
        <v>341250</v>
      </c>
      <c r="K56">
        <f t="shared" si="1"/>
        <v>260000</v>
      </c>
      <c r="L56">
        <f t="shared" si="2"/>
        <v>81250</v>
      </c>
      <c r="M56" s="9">
        <f t="shared" si="3"/>
        <v>0.23809523809523808</v>
      </c>
    </row>
    <row r="57" spans="1:13" x14ac:dyDescent="0.25">
      <c r="A57" t="s">
        <v>89</v>
      </c>
      <c r="B57" s="1">
        <v>45701</v>
      </c>
      <c r="C57" t="s">
        <v>10</v>
      </c>
      <c r="D57" t="s">
        <v>37</v>
      </c>
      <c r="E57" t="s">
        <v>31</v>
      </c>
      <c r="F57" t="s">
        <v>32</v>
      </c>
      <c r="G57">
        <v>4</v>
      </c>
      <c r="H57">
        <v>1200</v>
      </c>
      <c r="I57">
        <v>550</v>
      </c>
      <c r="J57">
        <f t="shared" si="0"/>
        <v>4800</v>
      </c>
      <c r="K57">
        <f t="shared" si="1"/>
        <v>2200</v>
      </c>
      <c r="L57">
        <f t="shared" si="2"/>
        <v>2600</v>
      </c>
      <c r="M57" s="9">
        <f t="shared" si="3"/>
        <v>0.54166666666666663</v>
      </c>
    </row>
    <row r="58" spans="1:13" x14ac:dyDescent="0.25">
      <c r="A58" t="s">
        <v>90</v>
      </c>
      <c r="B58" s="1">
        <v>45701</v>
      </c>
      <c r="C58" t="s">
        <v>20</v>
      </c>
      <c r="D58" t="s">
        <v>21</v>
      </c>
      <c r="E58" t="s">
        <v>31</v>
      </c>
      <c r="F58" t="s">
        <v>32</v>
      </c>
      <c r="G58">
        <v>3</v>
      </c>
      <c r="H58">
        <v>1200</v>
      </c>
      <c r="I58">
        <v>550</v>
      </c>
      <c r="J58">
        <f t="shared" si="0"/>
        <v>3600</v>
      </c>
      <c r="K58">
        <f t="shared" si="1"/>
        <v>1650</v>
      </c>
      <c r="L58">
        <f t="shared" si="2"/>
        <v>1950</v>
      </c>
      <c r="M58" s="9">
        <f t="shared" si="3"/>
        <v>0.54166666666666663</v>
      </c>
    </row>
    <row r="59" spans="1:13" x14ac:dyDescent="0.25">
      <c r="A59" t="s">
        <v>91</v>
      </c>
      <c r="B59" s="1">
        <v>45701</v>
      </c>
      <c r="C59" t="s">
        <v>15</v>
      </c>
      <c r="D59" t="s">
        <v>16</v>
      </c>
      <c r="E59" t="s">
        <v>17</v>
      </c>
      <c r="F59" t="s">
        <v>18</v>
      </c>
      <c r="G59">
        <v>4</v>
      </c>
      <c r="H59">
        <v>450</v>
      </c>
      <c r="I59">
        <v>230</v>
      </c>
      <c r="J59">
        <f t="shared" si="0"/>
        <v>1800</v>
      </c>
      <c r="K59">
        <f t="shared" si="1"/>
        <v>920</v>
      </c>
      <c r="L59">
        <f t="shared" si="2"/>
        <v>880</v>
      </c>
      <c r="M59" s="9">
        <f t="shared" si="3"/>
        <v>0.48888888888888887</v>
      </c>
    </row>
    <row r="60" spans="1:13" x14ac:dyDescent="0.25">
      <c r="A60" t="s">
        <v>92</v>
      </c>
      <c r="B60" s="1">
        <v>45702</v>
      </c>
      <c r="C60" t="s">
        <v>20</v>
      </c>
      <c r="D60" t="s">
        <v>29</v>
      </c>
      <c r="E60" t="s">
        <v>17</v>
      </c>
      <c r="F60" t="s">
        <v>18</v>
      </c>
      <c r="G60">
        <v>2</v>
      </c>
      <c r="H60">
        <v>450</v>
      </c>
      <c r="I60">
        <v>230</v>
      </c>
      <c r="J60">
        <f t="shared" si="0"/>
        <v>900</v>
      </c>
      <c r="K60">
        <f t="shared" si="1"/>
        <v>460</v>
      </c>
      <c r="L60">
        <f t="shared" si="2"/>
        <v>440</v>
      </c>
      <c r="M60" s="9">
        <f t="shared" si="3"/>
        <v>0.48888888888888887</v>
      </c>
    </row>
    <row r="61" spans="1:13" x14ac:dyDescent="0.25">
      <c r="A61" t="s">
        <v>93</v>
      </c>
      <c r="B61" s="1">
        <v>45702</v>
      </c>
      <c r="C61" t="s">
        <v>15</v>
      </c>
      <c r="D61" t="s">
        <v>16</v>
      </c>
      <c r="E61" t="s">
        <v>12</v>
      </c>
      <c r="F61" t="s">
        <v>13</v>
      </c>
      <c r="G61">
        <v>8</v>
      </c>
      <c r="H61">
        <v>22000</v>
      </c>
      <c r="I61">
        <v>15500</v>
      </c>
      <c r="J61">
        <f t="shared" si="0"/>
        <v>176000</v>
      </c>
      <c r="K61">
        <f t="shared" si="1"/>
        <v>124000</v>
      </c>
      <c r="L61">
        <f t="shared" si="2"/>
        <v>52000</v>
      </c>
      <c r="M61" s="9">
        <f t="shared" si="3"/>
        <v>0.29545454545454547</v>
      </c>
    </row>
    <row r="62" spans="1:13" x14ac:dyDescent="0.25">
      <c r="A62" t="s">
        <v>94</v>
      </c>
      <c r="B62" s="1">
        <v>45703</v>
      </c>
      <c r="C62" t="s">
        <v>15</v>
      </c>
      <c r="D62" t="s">
        <v>11</v>
      </c>
      <c r="E62" t="s">
        <v>78</v>
      </c>
      <c r="F62" t="s">
        <v>23</v>
      </c>
      <c r="G62">
        <v>6</v>
      </c>
      <c r="H62">
        <v>65000</v>
      </c>
      <c r="I62">
        <v>52000</v>
      </c>
      <c r="J62">
        <f t="shared" si="0"/>
        <v>390000</v>
      </c>
      <c r="K62">
        <f t="shared" si="1"/>
        <v>312000</v>
      </c>
      <c r="L62">
        <f t="shared" si="2"/>
        <v>78000</v>
      </c>
      <c r="M62" s="9">
        <f t="shared" si="3"/>
        <v>0.2</v>
      </c>
    </row>
    <row r="63" spans="1:13" x14ac:dyDescent="0.25">
      <c r="A63" t="s">
        <v>95</v>
      </c>
      <c r="B63" s="1">
        <v>45704</v>
      </c>
      <c r="C63" t="s">
        <v>25</v>
      </c>
      <c r="D63" t="s">
        <v>16</v>
      </c>
      <c r="E63" t="s">
        <v>35</v>
      </c>
      <c r="F63" t="s">
        <v>32</v>
      </c>
      <c r="G63">
        <v>7</v>
      </c>
      <c r="H63">
        <v>2625</v>
      </c>
      <c r="I63">
        <v>1300</v>
      </c>
      <c r="J63">
        <f t="shared" si="0"/>
        <v>18375</v>
      </c>
      <c r="K63">
        <f t="shared" si="1"/>
        <v>9100</v>
      </c>
      <c r="L63">
        <f t="shared" si="2"/>
        <v>9275</v>
      </c>
      <c r="M63" s="9">
        <f t="shared" si="3"/>
        <v>0.50476190476190474</v>
      </c>
    </row>
    <row r="64" spans="1:13" x14ac:dyDescent="0.25">
      <c r="A64" t="s">
        <v>96</v>
      </c>
      <c r="B64" s="1">
        <v>45704</v>
      </c>
      <c r="C64" t="s">
        <v>39</v>
      </c>
      <c r="D64" t="s">
        <v>37</v>
      </c>
      <c r="E64" t="s">
        <v>27</v>
      </c>
      <c r="F64" t="s">
        <v>23</v>
      </c>
      <c r="G64">
        <v>1</v>
      </c>
      <c r="H64">
        <v>4500</v>
      </c>
      <c r="I64">
        <v>2800</v>
      </c>
      <c r="J64">
        <f t="shared" si="0"/>
        <v>4500</v>
      </c>
      <c r="K64">
        <f t="shared" si="1"/>
        <v>2800</v>
      </c>
      <c r="L64">
        <f t="shared" si="2"/>
        <v>1700</v>
      </c>
      <c r="M64" s="9">
        <f t="shared" si="3"/>
        <v>0.37777777777777777</v>
      </c>
    </row>
    <row r="65" spans="1:13" x14ac:dyDescent="0.25">
      <c r="A65" t="s">
        <v>97</v>
      </c>
      <c r="B65" s="1">
        <v>45704</v>
      </c>
      <c r="C65" t="s">
        <v>15</v>
      </c>
      <c r="D65" t="s">
        <v>16</v>
      </c>
      <c r="E65" t="s">
        <v>17</v>
      </c>
      <c r="F65" t="s">
        <v>18</v>
      </c>
      <c r="G65">
        <v>8</v>
      </c>
      <c r="H65">
        <v>450</v>
      </c>
      <c r="I65">
        <v>230</v>
      </c>
      <c r="J65">
        <f t="shared" si="0"/>
        <v>3600</v>
      </c>
      <c r="K65">
        <f t="shared" si="1"/>
        <v>1840</v>
      </c>
      <c r="L65">
        <f t="shared" si="2"/>
        <v>1760</v>
      </c>
      <c r="M65" s="9">
        <f t="shared" si="3"/>
        <v>0.48888888888888887</v>
      </c>
    </row>
    <row r="66" spans="1:13" x14ac:dyDescent="0.25">
      <c r="A66" t="s">
        <v>98</v>
      </c>
      <c r="B66" s="1">
        <v>45705</v>
      </c>
      <c r="C66" t="s">
        <v>10</v>
      </c>
      <c r="D66" t="s">
        <v>29</v>
      </c>
      <c r="E66" t="s">
        <v>59</v>
      </c>
      <c r="F66" t="s">
        <v>32</v>
      </c>
      <c r="G66">
        <v>7</v>
      </c>
      <c r="H66">
        <v>900</v>
      </c>
      <c r="I66">
        <v>400</v>
      </c>
      <c r="J66">
        <f t="shared" ref="J66:J129" si="4">G66*H66</f>
        <v>6300</v>
      </c>
      <c r="K66">
        <f t="shared" ref="K66:K129" si="5">G66*I66</f>
        <v>2800</v>
      </c>
      <c r="L66">
        <f t="shared" ref="L66:L129" si="6">J66-K66</f>
        <v>3500</v>
      </c>
      <c r="M66" s="9">
        <f t="shared" si="3"/>
        <v>0.55555555555555558</v>
      </c>
    </row>
    <row r="67" spans="1:13" x14ac:dyDescent="0.25">
      <c r="A67" t="s">
        <v>99</v>
      </c>
      <c r="B67" s="1">
        <v>45705</v>
      </c>
      <c r="C67" t="s">
        <v>25</v>
      </c>
      <c r="D67" t="s">
        <v>16</v>
      </c>
      <c r="E67" t="s">
        <v>59</v>
      </c>
      <c r="F67" t="s">
        <v>32</v>
      </c>
      <c r="G67">
        <v>7</v>
      </c>
      <c r="H67">
        <v>900</v>
      </c>
      <c r="I67">
        <v>400</v>
      </c>
      <c r="J67">
        <f t="shared" si="4"/>
        <v>6300</v>
      </c>
      <c r="K67">
        <f t="shared" si="5"/>
        <v>2800</v>
      </c>
      <c r="L67">
        <f t="shared" si="6"/>
        <v>3500</v>
      </c>
      <c r="M67" s="9">
        <f t="shared" ref="M67:M130" si="7">(J67-K67)/J67</f>
        <v>0.55555555555555558</v>
      </c>
    </row>
    <row r="68" spans="1:13" x14ac:dyDescent="0.25">
      <c r="A68" t="s">
        <v>100</v>
      </c>
      <c r="B68" s="1">
        <v>45706</v>
      </c>
      <c r="C68" t="s">
        <v>25</v>
      </c>
      <c r="D68" t="s">
        <v>21</v>
      </c>
      <c r="E68" t="s">
        <v>59</v>
      </c>
      <c r="F68" t="s">
        <v>32</v>
      </c>
      <c r="G68">
        <v>1</v>
      </c>
      <c r="H68">
        <v>900</v>
      </c>
      <c r="I68">
        <v>400</v>
      </c>
      <c r="J68">
        <f t="shared" si="4"/>
        <v>900</v>
      </c>
      <c r="K68">
        <f t="shared" si="5"/>
        <v>400</v>
      </c>
      <c r="L68">
        <f t="shared" si="6"/>
        <v>500</v>
      </c>
      <c r="M68" s="9">
        <f t="shared" si="7"/>
        <v>0.55555555555555558</v>
      </c>
    </row>
    <row r="69" spans="1:13" x14ac:dyDescent="0.25">
      <c r="A69" t="s">
        <v>101</v>
      </c>
      <c r="B69" s="1">
        <v>45706</v>
      </c>
      <c r="C69" t="s">
        <v>15</v>
      </c>
      <c r="D69" t="s">
        <v>26</v>
      </c>
      <c r="E69" t="s">
        <v>12</v>
      </c>
      <c r="F69" t="s">
        <v>13</v>
      </c>
      <c r="G69">
        <v>3</v>
      </c>
      <c r="H69">
        <v>22000</v>
      </c>
      <c r="I69">
        <v>15500</v>
      </c>
      <c r="J69">
        <f t="shared" si="4"/>
        <v>66000</v>
      </c>
      <c r="K69">
        <f t="shared" si="5"/>
        <v>46500</v>
      </c>
      <c r="L69">
        <f t="shared" si="6"/>
        <v>19500</v>
      </c>
      <c r="M69" s="9">
        <f t="shared" si="7"/>
        <v>0.29545454545454547</v>
      </c>
    </row>
    <row r="70" spans="1:13" x14ac:dyDescent="0.25">
      <c r="A70" t="s">
        <v>102</v>
      </c>
      <c r="B70" s="1">
        <v>45709</v>
      </c>
      <c r="C70" t="s">
        <v>25</v>
      </c>
      <c r="D70" t="s">
        <v>16</v>
      </c>
      <c r="E70" t="s">
        <v>50</v>
      </c>
      <c r="F70" t="s">
        <v>18</v>
      </c>
      <c r="G70">
        <v>3</v>
      </c>
      <c r="H70">
        <v>24000</v>
      </c>
      <c r="I70">
        <v>18500</v>
      </c>
      <c r="J70">
        <f t="shared" si="4"/>
        <v>72000</v>
      </c>
      <c r="K70">
        <f t="shared" si="5"/>
        <v>55500</v>
      </c>
      <c r="L70">
        <f t="shared" si="6"/>
        <v>16500</v>
      </c>
      <c r="M70" s="9">
        <f t="shared" si="7"/>
        <v>0.22916666666666666</v>
      </c>
    </row>
    <row r="71" spans="1:13" x14ac:dyDescent="0.25">
      <c r="A71" t="s">
        <v>103</v>
      </c>
      <c r="B71" s="1">
        <v>45709</v>
      </c>
      <c r="C71" t="s">
        <v>25</v>
      </c>
      <c r="D71" t="s">
        <v>16</v>
      </c>
      <c r="E71" t="s">
        <v>59</v>
      </c>
      <c r="F71" t="s">
        <v>32</v>
      </c>
      <c r="G71">
        <v>7</v>
      </c>
      <c r="H71">
        <v>945</v>
      </c>
      <c r="I71">
        <v>400</v>
      </c>
      <c r="J71">
        <f t="shared" si="4"/>
        <v>6615</v>
      </c>
      <c r="K71">
        <f t="shared" si="5"/>
        <v>2800</v>
      </c>
      <c r="L71">
        <f t="shared" si="6"/>
        <v>3815</v>
      </c>
      <c r="M71" s="9">
        <f t="shared" si="7"/>
        <v>0.57671957671957674</v>
      </c>
    </row>
    <row r="72" spans="1:13" x14ac:dyDescent="0.25">
      <c r="A72" t="s">
        <v>104</v>
      </c>
      <c r="B72" s="1">
        <v>45709</v>
      </c>
      <c r="C72" t="s">
        <v>25</v>
      </c>
      <c r="D72" t="s">
        <v>26</v>
      </c>
      <c r="E72" t="s">
        <v>59</v>
      </c>
      <c r="F72" t="s">
        <v>32</v>
      </c>
      <c r="G72">
        <v>4</v>
      </c>
      <c r="H72">
        <v>810</v>
      </c>
      <c r="I72">
        <v>400</v>
      </c>
      <c r="J72">
        <f t="shared" si="4"/>
        <v>3240</v>
      </c>
      <c r="K72">
        <f t="shared" si="5"/>
        <v>1600</v>
      </c>
      <c r="L72">
        <f t="shared" si="6"/>
        <v>1640</v>
      </c>
      <c r="M72" s="9">
        <f t="shared" si="7"/>
        <v>0.50617283950617287</v>
      </c>
    </row>
    <row r="73" spans="1:13" x14ac:dyDescent="0.25">
      <c r="A73" t="s">
        <v>105</v>
      </c>
      <c r="B73" s="1">
        <v>45709</v>
      </c>
      <c r="C73" t="s">
        <v>15</v>
      </c>
      <c r="D73" t="s">
        <v>37</v>
      </c>
      <c r="E73" t="s">
        <v>78</v>
      </c>
      <c r="F73" t="s">
        <v>23</v>
      </c>
      <c r="G73">
        <v>8</v>
      </c>
      <c r="H73">
        <v>65000</v>
      </c>
      <c r="I73">
        <v>52000</v>
      </c>
      <c r="J73">
        <f t="shared" si="4"/>
        <v>520000</v>
      </c>
      <c r="K73">
        <f t="shared" si="5"/>
        <v>416000</v>
      </c>
      <c r="L73">
        <f t="shared" si="6"/>
        <v>104000</v>
      </c>
      <c r="M73" s="9">
        <f t="shared" si="7"/>
        <v>0.2</v>
      </c>
    </row>
    <row r="74" spans="1:13" x14ac:dyDescent="0.25">
      <c r="A74" t="s">
        <v>106</v>
      </c>
      <c r="B74" s="1">
        <v>45709</v>
      </c>
      <c r="C74" t="s">
        <v>25</v>
      </c>
      <c r="D74" t="s">
        <v>11</v>
      </c>
      <c r="E74" t="s">
        <v>17</v>
      </c>
      <c r="F74" t="s">
        <v>18</v>
      </c>
      <c r="G74">
        <v>1</v>
      </c>
      <c r="H74">
        <v>450</v>
      </c>
      <c r="I74">
        <v>230</v>
      </c>
      <c r="J74">
        <f t="shared" si="4"/>
        <v>450</v>
      </c>
      <c r="K74">
        <f t="shared" si="5"/>
        <v>230</v>
      </c>
      <c r="L74">
        <f t="shared" si="6"/>
        <v>220</v>
      </c>
      <c r="M74" s="9">
        <f t="shared" si="7"/>
        <v>0.48888888888888887</v>
      </c>
    </row>
    <row r="75" spans="1:13" x14ac:dyDescent="0.25">
      <c r="A75" t="s">
        <v>107</v>
      </c>
      <c r="B75" s="1">
        <v>45709</v>
      </c>
      <c r="C75" t="s">
        <v>25</v>
      </c>
      <c r="D75" t="s">
        <v>29</v>
      </c>
      <c r="E75" t="s">
        <v>27</v>
      </c>
      <c r="F75" t="s">
        <v>23</v>
      </c>
      <c r="G75">
        <v>7</v>
      </c>
      <c r="H75">
        <v>4500</v>
      </c>
      <c r="I75">
        <v>2800</v>
      </c>
      <c r="J75">
        <f t="shared" si="4"/>
        <v>31500</v>
      </c>
      <c r="K75">
        <f t="shared" si="5"/>
        <v>19600</v>
      </c>
      <c r="L75">
        <f t="shared" si="6"/>
        <v>11900</v>
      </c>
      <c r="M75" s="9">
        <f t="shared" si="7"/>
        <v>0.37777777777777777</v>
      </c>
    </row>
    <row r="76" spans="1:13" x14ac:dyDescent="0.25">
      <c r="A76" t="s">
        <v>108</v>
      </c>
      <c r="B76" s="1">
        <v>45710</v>
      </c>
      <c r="C76" t="s">
        <v>20</v>
      </c>
      <c r="D76" t="s">
        <v>26</v>
      </c>
      <c r="E76" t="s">
        <v>27</v>
      </c>
      <c r="F76" t="s">
        <v>23</v>
      </c>
      <c r="G76">
        <v>8</v>
      </c>
      <c r="H76">
        <v>4500</v>
      </c>
      <c r="I76">
        <v>2800</v>
      </c>
      <c r="J76">
        <f t="shared" si="4"/>
        <v>36000</v>
      </c>
      <c r="K76">
        <f t="shared" si="5"/>
        <v>22400</v>
      </c>
      <c r="L76">
        <f t="shared" si="6"/>
        <v>13600</v>
      </c>
      <c r="M76" s="9">
        <f t="shared" si="7"/>
        <v>0.37777777777777777</v>
      </c>
    </row>
    <row r="77" spans="1:13" x14ac:dyDescent="0.25">
      <c r="A77" t="s">
        <v>109</v>
      </c>
      <c r="B77" s="1">
        <v>45710</v>
      </c>
      <c r="C77" t="s">
        <v>20</v>
      </c>
      <c r="D77" t="s">
        <v>37</v>
      </c>
      <c r="E77" t="s">
        <v>43</v>
      </c>
      <c r="F77" t="s">
        <v>13</v>
      </c>
      <c r="G77">
        <v>1</v>
      </c>
      <c r="H77">
        <v>12500</v>
      </c>
      <c r="I77">
        <v>8500</v>
      </c>
      <c r="J77">
        <f t="shared" si="4"/>
        <v>12500</v>
      </c>
      <c r="K77">
        <f t="shared" si="5"/>
        <v>8500</v>
      </c>
      <c r="L77">
        <f t="shared" si="6"/>
        <v>4000</v>
      </c>
      <c r="M77" s="9">
        <f t="shared" si="7"/>
        <v>0.32</v>
      </c>
    </row>
    <row r="78" spans="1:13" x14ac:dyDescent="0.25">
      <c r="A78" t="s">
        <v>110</v>
      </c>
      <c r="B78" s="1">
        <v>45712</v>
      </c>
      <c r="C78" t="s">
        <v>15</v>
      </c>
      <c r="D78" t="s">
        <v>37</v>
      </c>
      <c r="E78" t="s">
        <v>31</v>
      </c>
      <c r="F78" t="s">
        <v>32</v>
      </c>
      <c r="G78">
        <v>3</v>
      </c>
      <c r="H78">
        <v>1320</v>
      </c>
      <c r="I78">
        <v>550</v>
      </c>
      <c r="J78">
        <f t="shared" si="4"/>
        <v>3960</v>
      </c>
      <c r="K78">
        <f t="shared" si="5"/>
        <v>1650</v>
      </c>
      <c r="L78">
        <f t="shared" si="6"/>
        <v>2310</v>
      </c>
      <c r="M78" s="9">
        <f t="shared" si="7"/>
        <v>0.58333333333333337</v>
      </c>
    </row>
    <row r="79" spans="1:13" x14ac:dyDescent="0.25">
      <c r="A79" t="s">
        <v>111</v>
      </c>
      <c r="B79" s="1">
        <v>45713</v>
      </c>
      <c r="C79" t="s">
        <v>39</v>
      </c>
      <c r="D79" t="s">
        <v>26</v>
      </c>
      <c r="E79" t="s">
        <v>59</v>
      </c>
      <c r="F79" t="s">
        <v>32</v>
      </c>
      <c r="G79">
        <v>5</v>
      </c>
      <c r="H79">
        <v>900</v>
      </c>
      <c r="I79">
        <v>400</v>
      </c>
      <c r="J79">
        <f t="shared" si="4"/>
        <v>4500</v>
      </c>
      <c r="K79">
        <f t="shared" si="5"/>
        <v>2000</v>
      </c>
      <c r="L79">
        <f t="shared" si="6"/>
        <v>2500</v>
      </c>
      <c r="M79" s="9">
        <f t="shared" si="7"/>
        <v>0.55555555555555558</v>
      </c>
    </row>
    <row r="80" spans="1:13" x14ac:dyDescent="0.25">
      <c r="A80" t="s">
        <v>112</v>
      </c>
      <c r="B80" s="1">
        <v>45713</v>
      </c>
      <c r="C80" t="s">
        <v>15</v>
      </c>
      <c r="D80" t="s">
        <v>26</v>
      </c>
      <c r="E80" t="s">
        <v>78</v>
      </c>
      <c r="F80" t="s">
        <v>23</v>
      </c>
      <c r="G80">
        <v>7</v>
      </c>
      <c r="H80">
        <v>65000</v>
      </c>
      <c r="I80">
        <v>52000</v>
      </c>
      <c r="J80">
        <f t="shared" si="4"/>
        <v>455000</v>
      </c>
      <c r="K80">
        <f t="shared" si="5"/>
        <v>364000</v>
      </c>
      <c r="L80">
        <f t="shared" si="6"/>
        <v>91000</v>
      </c>
      <c r="M80" s="9">
        <f t="shared" si="7"/>
        <v>0.2</v>
      </c>
    </row>
    <row r="81" spans="1:13" x14ac:dyDescent="0.25">
      <c r="A81" t="s">
        <v>113</v>
      </c>
      <c r="B81" s="1">
        <v>45713</v>
      </c>
      <c r="C81" t="s">
        <v>25</v>
      </c>
      <c r="D81" t="s">
        <v>16</v>
      </c>
      <c r="E81" t="s">
        <v>17</v>
      </c>
      <c r="F81" t="s">
        <v>18</v>
      </c>
      <c r="G81">
        <v>2</v>
      </c>
      <c r="H81">
        <v>450</v>
      </c>
      <c r="I81">
        <v>230</v>
      </c>
      <c r="J81">
        <f t="shared" si="4"/>
        <v>900</v>
      </c>
      <c r="K81">
        <f t="shared" si="5"/>
        <v>460</v>
      </c>
      <c r="L81">
        <f t="shared" si="6"/>
        <v>440</v>
      </c>
      <c r="M81" s="9">
        <f t="shared" si="7"/>
        <v>0.48888888888888887</v>
      </c>
    </row>
    <row r="82" spans="1:13" x14ac:dyDescent="0.25">
      <c r="A82" t="s">
        <v>114</v>
      </c>
      <c r="B82" s="1">
        <v>45713</v>
      </c>
      <c r="C82" t="s">
        <v>25</v>
      </c>
      <c r="D82" t="s">
        <v>37</v>
      </c>
      <c r="E82" t="s">
        <v>35</v>
      </c>
      <c r="F82" t="s">
        <v>32</v>
      </c>
      <c r="G82">
        <v>8</v>
      </c>
      <c r="H82">
        <v>2500</v>
      </c>
      <c r="I82">
        <v>1300</v>
      </c>
      <c r="J82">
        <f t="shared" si="4"/>
        <v>20000</v>
      </c>
      <c r="K82">
        <f t="shared" si="5"/>
        <v>10400</v>
      </c>
      <c r="L82">
        <f t="shared" si="6"/>
        <v>9600</v>
      </c>
      <c r="M82" s="9">
        <f t="shared" si="7"/>
        <v>0.48</v>
      </c>
    </row>
    <row r="83" spans="1:13" x14ac:dyDescent="0.25">
      <c r="A83" t="s">
        <v>115</v>
      </c>
      <c r="B83" s="1">
        <v>45714</v>
      </c>
      <c r="C83" t="s">
        <v>15</v>
      </c>
      <c r="D83" t="s">
        <v>26</v>
      </c>
      <c r="E83" t="s">
        <v>50</v>
      </c>
      <c r="F83" t="s">
        <v>18</v>
      </c>
      <c r="G83">
        <v>8</v>
      </c>
      <c r="H83">
        <v>24000</v>
      </c>
      <c r="I83">
        <v>18500</v>
      </c>
      <c r="J83">
        <f t="shared" si="4"/>
        <v>192000</v>
      </c>
      <c r="K83">
        <f t="shared" si="5"/>
        <v>148000</v>
      </c>
      <c r="L83">
        <f t="shared" si="6"/>
        <v>44000</v>
      </c>
      <c r="M83" s="9">
        <f t="shared" si="7"/>
        <v>0.22916666666666666</v>
      </c>
    </row>
    <row r="84" spans="1:13" x14ac:dyDescent="0.25">
      <c r="A84" t="s">
        <v>116</v>
      </c>
      <c r="B84" s="1">
        <v>45716</v>
      </c>
      <c r="C84" t="s">
        <v>10</v>
      </c>
      <c r="D84" t="s">
        <v>21</v>
      </c>
      <c r="E84" t="s">
        <v>59</v>
      </c>
      <c r="F84" t="s">
        <v>32</v>
      </c>
      <c r="G84">
        <v>8</v>
      </c>
      <c r="H84">
        <v>900</v>
      </c>
      <c r="I84">
        <v>400</v>
      </c>
      <c r="J84">
        <f t="shared" si="4"/>
        <v>7200</v>
      </c>
      <c r="K84">
        <f t="shared" si="5"/>
        <v>3200</v>
      </c>
      <c r="L84">
        <f t="shared" si="6"/>
        <v>4000</v>
      </c>
      <c r="M84" s="9">
        <f t="shared" si="7"/>
        <v>0.55555555555555558</v>
      </c>
    </row>
    <row r="85" spans="1:13" x14ac:dyDescent="0.25">
      <c r="A85" t="s">
        <v>117</v>
      </c>
      <c r="B85" s="1">
        <v>45716</v>
      </c>
      <c r="C85" t="s">
        <v>25</v>
      </c>
      <c r="D85" t="s">
        <v>26</v>
      </c>
      <c r="E85" t="s">
        <v>59</v>
      </c>
      <c r="F85" t="s">
        <v>32</v>
      </c>
      <c r="G85">
        <v>4</v>
      </c>
      <c r="H85">
        <v>900</v>
      </c>
      <c r="I85">
        <v>400</v>
      </c>
      <c r="J85">
        <f t="shared" si="4"/>
        <v>3600</v>
      </c>
      <c r="K85">
        <f t="shared" si="5"/>
        <v>1600</v>
      </c>
      <c r="L85">
        <f t="shared" si="6"/>
        <v>2000</v>
      </c>
      <c r="M85" s="9">
        <f t="shared" si="7"/>
        <v>0.55555555555555558</v>
      </c>
    </row>
    <row r="86" spans="1:13" x14ac:dyDescent="0.25">
      <c r="A86" t="s">
        <v>118</v>
      </c>
      <c r="B86" s="1">
        <v>45716</v>
      </c>
      <c r="C86" t="s">
        <v>25</v>
      </c>
      <c r="D86" t="s">
        <v>37</v>
      </c>
      <c r="E86" t="s">
        <v>43</v>
      </c>
      <c r="F86" t="s">
        <v>13</v>
      </c>
      <c r="G86">
        <v>4</v>
      </c>
      <c r="H86">
        <v>12500</v>
      </c>
      <c r="I86">
        <v>8500</v>
      </c>
      <c r="J86">
        <f t="shared" si="4"/>
        <v>50000</v>
      </c>
      <c r="K86">
        <f t="shared" si="5"/>
        <v>34000</v>
      </c>
      <c r="L86">
        <f t="shared" si="6"/>
        <v>16000</v>
      </c>
      <c r="M86" s="9">
        <f t="shared" si="7"/>
        <v>0.32</v>
      </c>
    </row>
    <row r="87" spans="1:13" x14ac:dyDescent="0.25">
      <c r="A87" t="s">
        <v>119</v>
      </c>
      <c r="B87" s="1">
        <v>45718</v>
      </c>
      <c r="C87" t="s">
        <v>15</v>
      </c>
      <c r="D87" t="s">
        <v>26</v>
      </c>
      <c r="E87" t="s">
        <v>27</v>
      </c>
      <c r="F87" t="s">
        <v>23</v>
      </c>
      <c r="G87">
        <v>5</v>
      </c>
      <c r="H87">
        <v>4500</v>
      </c>
      <c r="I87">
        <v>2800</v>
      </c>
      <c r="J87">
        <f t="shared" si="4"/>
        <v>22500</v>
      </c>
      <c r="K87">
        <f t="shared" si="5"/>
        <v>14000</v>
      </c>
      <c r="L87">
        <f t="shared" si="6"/>
        <v>8500</v>
      </c>
      <c r="M87" s="9">
        <f t="shared" si="7"/>
        <v>0.37777777777777777</v>
      </c>
    </row>
    <row r="88" spans="1:13" x14ac:dyDescent="0.25">
      <c r="A88" t="s">
        <v>120</v>
      </c>
      <c r="B88" s="1">
        <v>45718</v>
      </c>
      <c r="C88" t="s">
        <v>10</v>
      </c>
      <c r="D88" t="s">
        <v>37</v>
      </c>
      <c r="E88" t="s">
        <v>50</v>
      </c>
      <c r="F88" t="s">
        <v>18</v>
      </c>
      <c r="G88">
        <v>2</v>
      </c>
      <c r="H88">
        <v>24000</v>
      </c>
      <c r="I88">
        <v>18500</v>
      </c>
      <c r="J88">
        <f t="shared" si="4"/>
        <v>48000</v>
      </c>
      <c r="K88">
        <f t="shared" si="5"/>
        <v>37000</v>
      </c>
      <c r="L88">
        <f t="shared" si="6"/>
        <v>11000</v>
      </c>
      <c r="M88" s="9">
        <f t="shared" si="7"/>
        <v>0.22916666666666666</v>
      </c>
    </row>
    <row r="89" spans="1:13" x14ac:dyDescent="0.25">
      <c r="A89" t="s">
        <v>121</v>
      </c>
      <c r="B89" s="1">
        <v>45718</v>
      </c>
      <c r="C89" t="s">
        <v>15</v>
      </c>
      <c r="D89" t="s">
        <v>16</v>
      </c>
      <c r="E89" t="s">
        <v>78</v>
      </c>
      <c r="F89" t="s">
        <v>23</v>
      </c>
      <c r="G89">
        <v>1</v>
      </c>
      <c r="H89">
        <v>65000</v>
      </c>
      <c r="I89">
        <v>52000</v>
      </c>
      <c r="J89">
        <f t="shared" si="4"/>
        <v>65000</v>
      </c>
      <c r="K89">
        <f t="shared" si="5"/>
        <v>52000</v>
      </c>
      <c r="L89">
        <f t="shared" si="6"/>
        <v>13000</v>
      </c>
      <c r="M89" s="9">
        <f t="shared" si="7"/>
        <v>0.2</v>
      </c>
    </row>
    <row r="90" spans="1:13" x14ac:dyDescent="0.25">
      <c r="A90" t="s">
        <v>122</v>
      </c>
      <c r="B90" s="1">
        <v>45718</v>
      </c>
      <c r="C90" t="s">
        <v>39</v>
      </c>
      <c r="D90" t="s">
        <v>11</v>
      </c>
      <c r="E90" t="s">
        <v>35</v>
      </c>
      <c r="F90" t="s">
        <v>32</v>
      </c>
      <c r="G90">
        <v>2</v>
      </c>
      <c r="H90">
        <v>2625</v>
      </c>
      <c r="I90">
        <v>1300</v>
      </c>
      <c r="J90">
        <f t="shared" si="4"/>
        <v>5250</v>
      </c>
      <c r="K90">
        <f t="shared" si="5"/>
        <v>2600</v>
      </c>
      <c r="L90">
        <f t="shared" si="6"/>
        <v>2650</v>
      </c>
      <c r="M90" s="9">
        <f t="shared" si="7"/>
        <v>0.50476190476190474</v>
      </c>
    </row>
    <row r="91" spans="1:13" x14ac:dyDescent="0.25">
      <c r="A91" t="s">
        <v>123</v>
      </c>
      <c r="B91" s="1">
        <v>45718</v>
      </c>
      <c r="C91" t="s">
        <v>39</v>
      </c>
      <c r="D91" t="s">
        <v>37</v>
      </c>
      <c r="E91" t="s">
        <v>35</v>
      </c>
      <c r="F91" t="s">
        <v>32</v>
      </c>
      <c r="G91">
        <v>2</v>
      </c>
      <c r="H91">
        <v>2500</v>
      </c>
      <c r="I91">
        <v>1300</v>
      </c>
      <c r="J91">
        <f t="shared" si="4"/>
        <v>5000</v>
      </c>
      <c r="K91">
        <f t="shared" si="5"/>
        <v>2600</v>
      </c>
      <c r="L91">
        <f t="shared" si="6"/>
        <v>2400</v>
      </c>
      <c r="M91" s="9">
        <f t="shared" si="7"/>
        <v>0.48</v>
      </c>
    </row>
    <row r="92" spans="1:13" x14ac:dyDescent="0.25">
      <c r="A92" t="s">
        <v>124</v>
      </c>
      <c r="B92" s="1">
        <v>45720</v>
      </c>
      <c r="C92" t="s">
        <v>15</v>
      </c>
      <c r="D92" t="s">
        <v>26</v>
      </c>
      <c r="E92" t="s">
        <v>31</v>
      </c>
      <c r="F92" t="s">
        <v>32</v>
      </c>
      <c r="G92">
        <v>1</v>
      </c>
      <c r="H92">
        <v>1200</v>
      </c>
      <c r="I92">
        <v>550</v>
      </c>
      <c r="J92">
        <f t="shared" si="4"/>
        <v>1200</v>
      </c>
      <c r="K92">
        <f t="shared" si="5"/>
        <v>550</v>
      </c>
      <c r="L92">
        <f t="shared" si="6"/>
        <v>650</v>
      </c>
      <c r="M92" s="9">
        <f t="shared" si="7"/>
        <v>0.54166666666666663</v>
      </c>
    </row>
    <row r="93" spans="1:13" x14ac:dyDescent="0.25">
      <c r="A93" t="s">
        <v>125</v>
      </c>
      <c r="B93" s="1">
        <v>45721</v>
      </c>
      <c r="C93" t="s">
        <v>10</v>
      </c>
      <c r="D93" t="s">
        <v>37</v>
      </c>
      <c r="E93" t="s">
        <v>31</v>
      </c>
      <c r="F93" t="s">
        <v>32</v>
      </c>
      <c r="G93">
        <v>7</v>
      </c>
      <c r="H93">
        <v>1260</v>
      </c>
      <c r="I93">
        <v>550</v>
      </c>
      <c r="J93">
        <f t="shared" si="4"/>
        <v>8820</v>
      </c>
      <c r="K93">
        <f t="shared" si="5"/>
        <v>3850</v>
      </c>
      <c r="L93">
        <f t="shared" si="6"/>
        <v>4970</v>
      </c>
      <c r="M93" s="9">
        <f t="shared" si="7"/>
        <v>0.56349206349206349</v>
      </c>
    </row>
    <row r="94" spans="1:13" x14ac:dyDescent="0.25">
      <c r="A94" t="s">
        <v>126</v>
      </c>
      <c r="B94" s="1">
        <v>45721</v>
      </c>
      <c r="C94" t="s">
        <v>15</v>
      </c>
      <c r="D94" t="s">
        <v>11</v>
      </c>
      <c r="E94" t="s">
        <v>35</v>
      </c>
      <c r="F94" t="s">
        <v>32</v>
      </c>
      <c r="G94">
        <v>1</v>
      </c>
      <c r="H94">
        <v>2500</v>
      </c>
      <c r="I94">
        <v>1300</v>
      </c>
      <c r="J94">
        <f t="shared" si="4"/>
        <v>2500</v>
      </c>
      <c r="K94">
        <f t="shared" si="5"/>
        <v>1300</v>
      </c>
      <c r="L94">
        <f t="shared" si="6"/>
        <v>1200</v>
      </c>
      <c r="M94" s="9">
        <f t="shared" si="7"/>
        <v>0.48</v>
      </c>
    </row>
    <row r="95" spans="1:13" x14ac:dyDescent="0.25">
      <c r="A95" t="s">
        <v>127</v>
      </c>
      <c r="B95" s="1">
        <v>45722</v>
      </c>
      <c r="C95" t="s">
        <v>15</v>
      </c>
      <c r="D95" t="s">
        <v>37</v>
      </c>
      <c r="E95" t="s">
        <v>59</v>
      </c>
      <c r="F95" t="s">
        <v>32</v>
      </c>
      <c r="G95">
        <v>5</v>
      </c>
      <c r="H95">
        <v>945</v>
      </c>
      <c r="I95">
        <v>400</v>
      </c>
      <c r="J95">
        <f t="shared" si="4"/>
        <v>4725</v>
      </c>
      <c r="K95">
        <f t="shared" si="5"/>
        <v>2000</v>
      </c>
      <c r="L95">
        <f t="shared" si="6"/>
        <v>2725</v>
      </c>
      <c r="M95" s="9">
        <f t="shared" si="7"/>
        <v>0.57671957671957674</v>
      </c>
    </row>
    <row r="96" spans="1:13" x14ac:dyDescent="0.25">
      <c r="A96" t="s">
        <v>128</v>
      </c>
      <c r="B96" s="1">
        <v>45723</v>
      </c>
      <c r="C96" t="s">
        <v>25</v>
      </c>
      <c r="D96" t="s">
        <v>29</v>
      </c>
      <c r="E96" t="s">
        <v>31</v>
      </c>
      <c r="F96" t="s">
        <v>32</v>
      </c>
      <c r="G96">
        <v>2</v>
      </c>
      <c r="H96">
        <v>1200</v>
      </c>
      <c r="I96">
        <v>550</v>
      </c>
      <c r="J96">
        <f t="shared" si="4"/>
        <v>2400</v>
      </c>
      <c r="K96">
        <f t="shared" si="5"/>
        <v>1100</v>
      </c>
      <c r="L96">
        <f t="shared" si="6"/>
        <v>1300</v>
      </c>
      <c r="M96" s="9">
        <f t="shared" si="7"/>
        <v>0.54166666666666663</v>
      </c>
    </row>
    <row r="97" spans="1:13" x14ac:dyDescent="0.25">
      <c r="A97" t="s">
        <v>129</v>
      </c>
      <c r="B97" s="1">
        <v>45723</v>
      </c>
      <c r="C97" t="s">
        <v>25</v>
      </c>
      <c r="D97" t="s">
        <v>37</v>
      </c>
      <c r="E97" t="s">
        <v>59</v>
      </c>
      <c r="F97" t="s">
        <v>32</v>
      </c>
      <c r="G97">
        <v>4</v>
      </c>
      <c r="H97">
        <v>900</v>
      </c>
      <c r="I97">
        <v>400</v>
      </c>
      <c r="J97">
        <f t="shared" si="4"/>
        <v>3600</v>
      </c>
      <c r="K97">
        <f t="shared" si="5"/>
        <v>1600</v>
      </c>
      <c r="L97">
        <f t="shared" si="6"/>
        <v>2000</v>
      </c>
      <c r="M97" s="9">
        <f t="shared" si="7"/>
        <v>0.55555555555555558</v>
      </c>
    </row>
    <row r="98" spans="1:13" x14ac:dyDescent="0.25">
      <c r="A98" t="s">
        <v>130</v>
      </c>
      <c r="B98" s="1">
        <v>45723</v>
      </c>
      <c r="C98" t="s">
        <v>20</v>
      </c>
      <c r="D98" t="s">
        <v>21</v>
      </c>
      <c r="E98" t="s">
        <v>78</v>
      </c>
      <c r="F98" t="s">
        <v>23</v>
      </c>
      <c r="G98">
        <v>7</v>
      </c>
      <c r="H98">
        <v>65000</v>
      </c>
      <c r="I98">
        <v>52000</v>
      </c>
      <c r="J98">
        <f t="shared" si="4"/>
        <v>455000</v>
      </c>
      <c r="K98">
        <f t="shared" si="5"/>
        <v>364000</v>
      </c>
      <c r="L98">
        <f t="shared" si="6"/>
        <v>91000</v>
      </c>
      <c r="M98" s="9">
        <f t="shared" si="7"/>
        <v>0.2</v>
      </c>
    </row>
    <row r="99" spans="1:13" x14ac:dyDescent="0.25">
      <c r="A99" t="s">
        <v>131</v>
      </c>
      <c r="B99" s="1">
        <v>45724</v>
      </c>
      <c r="C99" t="s">
        <v>10</v>
      </c>
      <c r="D99" t="s">
        <v>16</v>
      </c>
      <c r="E99" t="s">
        <v>78</v>
      </c>
      <c r="F99" t="s">
        <v>23</v>
      </c>
      <c r="G99">
        <v>5</v>
      </c>
      <c r="H99">
        <v>65000</v>
      </c>
      <c r="I99">
        <v>52000</v>
      </c>
      <c r="J99">
        <f t="shared" si="4"/>
        <v>325000</v>
      </c>
      <c r="K99">
        <f t="shared" si="5"/>
        <v>260000</v>
      </c>
      <c r="L99">
        <f t="shared" si="6"/>
        <v>65000</v>
      </c>
      <c r="M99" s="9">
        <f t="shared" si="7"/>
        <v>0.2</v>
      </c>
    </row>
    <row r="100" spans="1:13" x14ac:dyDescent="0.25">
      <c r="A100" t="s">
        <v>132</v>
      </c>
      <c r="B100" s="1">
        <v>45724</v>
      </c>
      <c r="C100" t="s">
        <v>25</v>
      </c>
      <c r="D100" t="s">
        <v>29</v>
      </c>
      <c r="E100" t="s">
        <v>35</v>
      </c>
      <c r="F100" t="s">
        <v>32</v>
      </c>
      <c r="G100">
        <v>3</v>
      </c>
      <c r="H100">
        <v>2500</v>
      </c>
      <c r="I100">
        <v>1300</v>
      </c>
      <c r="J100">
        <f t="shared" si="4"/>
        <v>7500</v>
      </c>
      <c r="K100">
        <f t="shared" si="5"/>
        <v>3900</v>
      </c>
      <c r="L100">
        <f t="shared" si="6"/>
        <v>3600</v>
      </c>
      <c r="M100" s="9">
        <f t="shared" si="7"/>
        <v>0.48</v>
      </c>
    </row>
    <row r="101" spans="1:13" x14ac:dyDescent="0.25">
      <c r="A101" t="s">
        <v>133</v>
      </c>
      <c r="B101" s="1">
        <v>45726</v>
      </c>
      <c r="C101" t="s">
        <v>25</v>
      </c>
      <c r="D101" t="s">
        <v>16</v>
      </c>
      <c r="E101" t="s">
        <v>43</v>
      </c>
      <c r="F101" t="s">
        <v>13</v>
      </c>
      <c r="G101">
        <v>2</v>
      </c>
      <c r="H101">
        <v>11250</v>
      </c>
      <c r="I101">
        <v>8500</v>
      </c>
      <c r="J101">
        <f t="shared" si="4"/>
        <v>22500</v>
      </c>
      <c r="K101">
        <f t="shared" si="5"/>
        <v>17000</v>
      </c>
      <c r="L101">
        <f t="shared" si="6"/>
        <v>5500</v>
      </c>
      <c r="M101" s="9">
        <f t="shared" si="7"/>
        <v>0.24444444444444444</v>
      </c>
    </row>
    <row r="102" spans="1:13" x14ac:dyDescent="0.25">
      <c r="A102" t="s">
        <v>134</v>
      </c>
      <c r="B102" s="1">
        <v>45727</v>
      </c>
      <c r="C102" t="s">
        <v>15</v>
      </c>
      <c r="D102" t="s">
        <v>29</v>
      </c>
      <c r="E102" t="s">
        <v>78</v>
      </c>
      <c r="F102" t="s">
        <v>23</v>
      </c>
      <c r="G102">
        <v>6</v>
      </c>
      <c r="H102">
        <v>65000</v>
      </c>
      <c r="I102">
        <v>52000</v>
      </c>
      <c r="J102">
        <f t="shared" si="4"/>
        <v>390000</v>
      </c>
      <c r="K102">
        <f t="shared" si="5"/>
        <v>312000</v>
      </c>
      <c r="L102">
        <f t="shared" si="6"/>
        <v>78000</v>
      </c>
      <c r="M102" s="9">
        <f t="shared" si="7"/>
        <v>0.2</v>
      </c>
    </row>
    <row r="103" spans="1:13" x14ac:dyDescent="0.25">
      <c r="A103" t="s">
        <v>135</v>
      </c>
      <c r="B103" s="1">
        <v>45729</v>
      </c>
      <c r="C103" t="s">
        <v>25</v>
      </c>
      <c r="D103" t="s">
        <v>11</v>
      </c>
      <c r="E103" t="s">
        <v>17</v>
      </c>
      <c r="F103" t="s">
        <v>18</v>
      </c>
      <c r="G103">
        <v>5</v>
      </c>
      <c r="H103">
        <v>405</v>
      </c>
      <c r="I103">
        <v>230</v>
      </c>
      <c r="J103">
        <f t="shared" si="4"/>
        <v>2025</v>
      </c>
      <c r="K103">
        <f t="shared" si="5"/>
        <v>1150</v>
      </c>
      <c r="L103">
        <f t="shared" si="6"/>
        <v>875</v>
      </c>
      <c r="M103" s="9">
        <f t="shared" si="7"/>
        <v>0.43209876543209874</v>
      </c>
    </row>
    <row r="104" spans="1:13" x14ac:dyDescent="0.25">
      <c r="A104" t="s">
        <v>136</v>
      </c>
      <c r="B104" s="1">
        <v>45729</v>
      </c>
      <c r="C104" t="s">
        <v>25</v>
      </c>
      <c r="D104" t="s">
        <v>29</v>
      </c>
      <c r="E104" t="s">
        <v>78</v>
      </c>
      <c r="F104" t="s">
        <v>23</v>
      </c>
      <c r="G104">
        <v>7</v>
      </c>
      <c r="H104">
        <v>71500</v>
      </c>
      <c r="I104">
        <v>52000</v>
      </c>
      <c r="J104">
        <f t="shared" si="4"/>
        <v>500500</v>
      </c>
      <c r="K104">
        <f t="shared" si="5"/>
        <v>364000</v>
      </c>
      <c r="L104">
        <f t="shared" si="6"/>
        <v>136500</v>
      </c>
      <c r="M104" s="9">
        <f t="shared" si="7"/>
        <v>0.27272727272727271</v>
      </c>
    </row>
    <row r="105" spans="1:13" x14ac:dyDescent="0.25">
      <c r="A105" t="s">
        <v>137</v>
      </c>
      <c r="B105" s="1">
        <v>45730</v>
      </c>
      <c r="C105" t="s">
        <v>15</v>
      </c>
      <c r="D105" t="s">
        <v>26</v>
      </c>
      <c r="E105" t="s">
        <v>59</v>
      </c>
      <c r="F105" t="s">
        <v>32</v>
      </c>
      <c r="G105">
        <v>5</v>
      </c>
      <c r="H105">
        <v>945</v>
      </c>
      <c r="I105">
        <v>400</v>
      </c>
      <c r="J105">
        <f t="shared" si="4"/>
        <v>4725</v>
      </c>
      <c r="K105">
        <f t="shared" si="5"/>
        <v>2000</v>
      </c>
      <c r="L105">
        <f t="shared" si="6"/>
        <v>2725</v>
      </c>
      <c r="M105" s="9">
        <f t="shared" si="7"/>
        <v>0.57671957671957674</v>
      </c>
    </row>
    <row r="106" spans="1:13" x14ac:dyDescent="0.25">
      <c r="A106" t="s">
        <v>138</v>
      </c>
      <c r="B106" s="1">
        <v>45730</v>
      </c>
      <c r="C106" t="s">
        <v>10</v>
      </c>
      <c r="D106" t="s">
        <v>21</v>
      </c>
      <c r="E106" t="s">
        <v>27</v>
      </c>
      <c r="F106" t="s">
        <v>23</v>
      </c>
      <c r="G106">
        <v>5</v>
      </c>
      <c r="H106">
        <v>4500</v>
      </c>
      <c r="I106">
        <v>2800</v>
      </c>
      <c r="J106">
        <f t="shared" si="4"/>
        <v>22500</v>
      </c>
      <c r="K106">
        <f t="shared" si="5"/>
        <v>14000</v>
      </c>
      <c r="L106">
        <f t="shared" si="6"/>
        <v>8500</v>
      </c>
      <c r="M106" s="9">
        <f t="shared" si="7"/>
        <v>0.37777777777777777</v>
      </c>
    </row>
    <row r="107" spans="1:13" x14ac:dyDescent="0.25">
      <c r="A107" t="s">
        <v>139</v>
      </c>
      <c r="B107" s="1">
        <v>45731</v>
      </c>
      <c r="C107" t="s">
        <v>25</v>
      </c>
      <c r="D107" t="s">
        <v>29</v>
      </c>
      <c r="E107" t="s">
        <v>35</v>
      </c>
      <c r="F107" t="s">
        <v>32</v>
      </c>
      <c r="G107">
        <v>2</v>
      </c>
      <c r="H107">
        <v>2500</v>
      </c>
      <c r="I107">
        <v>1300</v>
      </c>
      <c r="J107">
        <f t="shared" si="4"/>
        <v>5000</v>
      </c>
      <c r="K107">
        <f t="shared" si="5"/>
        <v>2600</v>
      </c>
      <c r="L107">
        <f t="shared" si="6"/>
        <v>2400</v>
      </c>
      <c r="M107" s="9">
        <f t="shared" si="7"/>
        <v>0.48</v>
      </c>
    </row>
    <row r="108" spans="1:13" x14ac:dyDescent="0.25">
      <c r="A108" t="s">
        <v>140</v>
      </c>
      <c r="B108" s="1">
        <v>45731</v>
      </c>
      <c r="C108" t="s">
        <v>15</v>
      </c>
      <c r="D108" t="s">
        <v>11</v>
      </c>
      <c r="E108" t="s">
        <v>50</v>
      </c>
      <c r="F108" t="s">
        <v>18</v>
      </c>
      <c r="G108">
        <v>8</v>
      </c>
      <c r="H108">
        <v>24000</v>
      </c>
      <c r="I108">
        <v>18500</v>
      </c>
      <c r="J108">
        <f t="shared" si="4"/>
        <v>192000</v>
      </c>
      <c r="K108">
        <f t="shared" si="5"/>
        <v>148000</v>
      </c>
      <c r="L108">
        <f t="shared" si="6"/>
        <v>44000</v>
      </c>
      <c r="M108" s="9">
        <f t="shared" si="7"/>
        <v>0.22916666666666666</v>
      </c>
    </row>
    <row r="109" spans="1:13" x14ac:dyDescent="0.25">
      <c r="A109" t="s">
        <v>141</v>
      </c>
      <c r="B109" s="1">
        <v>45731</v>
      </c>
      <c r="C109" t="s">
        <v>15</v>
      </c>
      <c r="D109" t="s">
        <v>11</v>
      </c>
      <c r="E109" t="s">
        <v>59</v>
      </c>
      <c r="F109" t="s">
        <v>32</v>
      </c>
      <c r="G109">
        <v>8</v>
      </c>
      <c r="H109">
        <v>900</v>
      </c>
      <c r="I109">
        <v>400</v>
      </c>
      <c r="J109">
        <f t="shared" si="4"/>
        <v>7200</v>
      </c>
      <c r="K109">
        <f t="shared" si="5"/>
        <v>3200</v>
      </c>
      <c r="L109">
        <f t="shared" si="6"/>
        <v>4000</v>
      </c>
      <c r="M109" s="9">
        <f t="shared" si="7"/>
        <v>0.55555555555555558</v>
      </c>
    </row>
    <row r="110" spans="1:13" x14ac:dyDescent="0.25">
      <c r="A110" t="s">
        <v>142</v>
      </c>
      <c r="B110" s="1">
        <v>45736</v>
      </c>
      <c r="C110" t="s">
        <v>25</v>
      </c>
      <c r="D110" t="s">
        <v>16</v>
      </c>
      <c r="E110" t="s">
        <v>22</v>
      </c>
      <c r="F110" t="s">
        <v>23</v>
      </c>
      <c r="G110">
        <v>5</v>
      </c>
      <c r="H110">
        <v>18900</v>
      </c>
      <c r="I110">
        <v>13500</v>
      </c>
      <c r="J110">
        <f t="shared" si="4"/>
        <v>94500</v>
      </c>
      <c r="K110">
        <f t="shared" si="5"/>
        <v>67500</v>
      </c>
      <c r="L110">
        <f t="shared" si="6"/>
        <v>27000</v>
      </c>
      <c r="M110" s="9">
        <f t="shared" si="7"/>
        <v>0.2857142857142857</v>
      </c>
    </row>
    <row r="111" spans="1:13" x14ac:dyDescent="0.25">
      <c r="A111" t="s">
        <v>143</v>
      </c>
      <c r="B111" s="1">
        <v>45739</v>
      </c>
      <c r="C111" t="s">
        <v>10</v>
      </c>
      <c r="D111" t="s">
        <v>11</v>
      </c>
      <c r="E111" t="s">
        <v>27</v>
      </c>
      <c r="F111" t="s">
        <v>23</v>
      </c>
      <c r="G111">
        <v>1</v>
      </c>
      <c r="H111">
        <v>4725</v>
      </c>
      <c r="I111">
        <v>2800</v>
      </c>
      <c r="J111">
        <f t="shared" si="4"/>
        <v>4725</v>
      </c>
      <c r="K111">
        <f t="shared" si="5"/>
        <v>2800</v>
      </c>
      <c r="L111">
        <f t="shared" si="6"/>
        <v>1925</v>
      </c>
      <c r="M111" s="9">
        <f t="shared" si="7"/>
        <v>0.40740740740740738</v>
      </c>
    </row>
    <row r="112" spans="1:13" x14ac:dyDescent="0.25">
      <c r="A112" t="s">
        <v>144</v>
      </c>
      <c r="B112" s="1">
        <v>45740</v>
      </c>
      <c r="C112" t="s">
        <v>15</v>
      </c>
      <c r="D112" t="s">
        <v>26</v>
      </c>
      <c r="E112" t="s">
        <v>12</v>
      </c>
      <c r="F112" t="s">
        <v>13</v>
      </c>
      <c r="G112">
        <v>6</v>
      </c>
      <c r="H112">
        <v>22000</v>
      </c>
      <c r="I112">
        <v>15500</v>
      </c>
      <c r="J112">
        <f t="shared" si="4"/>
        <v>132000</v>
      </c>
      <c r="K112">
        <f t="shared" si="5"/>
        <v>93000</v>
      </c>
      <c r="L112">
        <f t="shared" si="6"/>
        <v>39000</v>
      </c>
      <c r="M112" s="9">
        <f t="shared" si="7"/>
        <v>0.29545454545454547</v>
      </c>
    </row>
    <row r="113" spans="1:13" x14ac:dyDescent="0.25">
      <c r="A113" t="s">
        <v>145</v>
      </c>
      <c r="B113" s="1">
        <v>45740</v>
      </c>
      <c r="C113" t="s">
        <v>25</v>
      </c>
      <c r="D113" t="s">
        <v>21</v>
      </c>
      <c r="E113" t="s">
        <v>22</v>
      </c>
      <c r="F113" t="s">
        <v>23</v>
      </c>
      <c r="G113">
        <v>8</v>
      </c>
      <c r="H113">
        <v>19800</v>
      </c>
      <c r="I113">
        <v>13500</v>
      </c>
      <c r="J113">
        <f t="shared" si="4"/>
        <v>158400</v>
      </c>
      <c r="K113">
        <f t="shared" si="5"/>
        <v>108000</v>
      </c>
      <c r="L113">
        <f t="shared" si="6"/>
        <v>50400</v>
      </c>
      <c r="M113" s="9">
        <f t="shared" si="7"/>
        <v>0.31818181818181818</v>
      </c>
    </row>
    <row r="114" spans="1:13" x14ac:dyDescent="0.25">
      <c r="A114" t="s">
        <v>146</v>
      </c>
      <c r="B114" s="1">
        <v>45741</v>
      </c>
      <c r="C114" t="s">
        <v>15</v>
      </c>
      <c r="D114" t="s">
        <v>29</v>
      </c>
      <c r="E114" t="s">
        <v>35</v>
      </c>
      <c r="F114" t="s">
        <v>32</v>
      </c>
      <c r="G114">
        <v>1</v>
      </c>
      <c r="H114">
        <v>2500</v>
      </c>
      <c r="I114">
        <v>1300</v>
      </c>
      <c r="J114">
        <f t="shared" si="4"/>
        <v>2500</v>
      </c>
      <c r="K114">
        <f t="shared" si="5"/>
        <v>1300</v>
      </c>
      <c r="L114">
        <f t="shared" si="6"/>
        <v>1200</v>
      </c>
      <c r="M114" s="9">
        <f t="shared" si="7"/>
        <v>0.48</v>
      </c>
    </row>
    <row r="115" spans="1:13" x14ac:dyDescent="0.25">
      <c r="A115" t="s">
        <v>147</v>
      </c>
      <c r="B115" s="1">
        <v>45742</v>
      </c>
      <c r="C115" t="s">
        <v>15</v>
      </c>
      <c r="D115" t="s">
        <v>37</v>
      </c>
      <c r="E115" t="s">
        <v>22</v>
      </c>
      <c r="F115" t="s">
        <v>23</v>
      </c>
      <c r="G115">
        <v>3</v>
      </c>
      <c r="H115">
        <v>18000</v>
      </c>
      <c r="I115">
        <v>13500</v>
      </c>
      <c r="J115">
        <f t="shared" si="4"/>
        <v>54000</v>
      </c>
      <c r="K115">
        <f t="shared" si="5"/>
        <v>40500</v>
      </c>
      <c r="L115">
        <f t="shared" si="6"/>
        <v>13500</v>
      </c>
      <c r="M115" s="9">
        <f t="shared" si="7"/>
        <v>0.25</v>
      </c>
    </row>
    <row r="116" spans="1:13" x14ac:dyDescent="0.25">
      <c r="A116" t="s">
        <v>148</v>
      </c>
      <c r="B116" s="1">
        <v>45742</v>
      </c>
      <c r="C116" t="s">
        <v>25</v>
      </c>
      <c r="D116" t="s">
        <v>26</v>
      </c>
      <c r="E116" t="s">
        <v>22</v>
      </c>
      <c r="F116" t="s">
        <v>23</v>
      </c>
      <c r="G116">
        <v>1</v>
      </c>
      <c r="H116">
        <v>18000</v>
      </c>
      <c r="I116">
        <v>13500</v>
      </c>
      <c r="J116">
        <f t="shared" si="4"/>
        <v>18000</v>
      </c>
      <c r="K116">
        <f t="shared" si="5"/>
        <v>13500</v>
      </c>
      <c r="L116">
        <f t="shared" si="6"/>
        <v>4500</v>
      </c>
      <c r="M116" s="9">
        <f t="shared" si="7"/>
        <v>0.25</v>
      </c>
    </row>
    <row r="117" spans="1:13" x14ac:dyDescent="0.25">
      <c r="A117" t="s">
        <v>149</v>
      </c>
      <c r="B117" s="1">
        <v>45743</v>
      </c>
      <c r="C117" t="s">
        <v>39</v>
      </c>
      <c r="D117" t="s">
        <v>37</v>
      </c>
      <c r="E117" t="s">
        <v>31</v>
      </c>
      <c r="F117" t="s">
        <v>32</v>
      </c>
      <c r="G117">
        <v>8</v>
      </c>
      <c r="H117">
        <v>1080</v>
      </c>
      <c r="I117">
        <v>550</v>
      </c>
      <c r="J117">
        <f t="shared" si="4"/>
        <v>8640</v>
      </c>
      <c r="K117">
        <f t="shared" si="5"/>
        <v>4400</v>
      </c>
      <c r="L117">
        <f t="shared" si="6"/>
        <v>4240</v>
      </c>
      <c r="M117" s="9">
        <f t="shared" si="7"/>
        <v>0.49074074074074076</v>
      </c>
    </row>
    <row r="118" spans="1:13" x14ac:dyDescent="0.25">
      <c r="A118" t="s">
        <v>150</v>
      </c>
      <c r="B118" s="1">
        <v>45744</v>
      </c>
      <c r="C118" t="s">
        <v>25</v>
      </c>
      <c r="D118" t="s">
        <v>11</v>
      </c>
      <c r="E118" t="s">
        <v>35</v>
      </c>
      <c r="F118" t="s">
        <v>32</v>
      </c>
      <c r="G118">
        <v>5</v>
      </c>
      <c r="H118">
        <v>2750</v>
      </c>
      <c r="I118">
        <v>1300</v>
      </c>
      <c r="J118">
        <f t="shared" si="4"/>
        <v>13750</v>
      </c>
      <c r="K118">
        <f t="shared" si="5"/>
        <v>6500</v>
      </c>
      <c r="L118">
        <f t="shared" si="6"/>
        <v>7250</v>
      </c>
      <c r="M118" s="9">
        <f t="shared" si="7"/>
        <v>0.52727272727272723</v>
      </c>
    </row>
    <row r="119" spans="1:13" x14ac:dyDescent="0.25">
      <c r="A119" t="s">
        <v>151</v>
      </c>
      <c r="B119" s="1">
        <v>45745</v>
      </c>
      <c r="C119" t="s">
        <v>39</v>
      </c>
      <c r="D119" t="s">
        <v>21</v>
      </c>
      <c r="E119" t="s">
        <v>35</v>
      </c>
      <c r="F119" t="s">
        <v>32</v>
      </c>
      <c r="G119">
        <v>4</v>
      </c>
      <c r="H119">
        <v>2500</v>
      </c>
      <c r="I119">
        <v>1300</v>
      </c>
      <c r="J119">
        <f t="shared" si="4"/>
        <v>10000</v>
      </c>
      <c r="K119">
        <f t="shared" si="5"/>
        <v>5200</v>
      </c>
      <c r="L119">
        <f t="shared" si="6"/>
        <v>4800</v>
      </c>
      <c r="M119" s="9">
        <f t="shared" si="7"/>
        <v>0.48</v>
      </c>
    </row>
    <row r="120" spans="1:13" x14ac:dyDescent="0.25">
      <c r="A120" t="s">
        <v>152</v>
      </c>
      <c r="B120" s="1">
        <v>45745</v>
      </c>
      <c r="C120" t="s">
        <v>25</v>
      </c>
      <c r="D120" t="s">
        <v>21</v>
      </c>
      <c r="E120" t="s">
        <v>22</v>
      </c>
      <c r="F120" t="s">
        <v>23</v>
      </c>
      <c r="G120">
        <v>4</v>
      </c>
      <c r="H120">
        <v>18000</v>
      </c>
      <c r="I120">
        <v>13500</v>
      </c>
      <c r="J120">
        <f t="shared" si="4"/>
        <v>72000</v>
      </c>
      <c r="K120">
        <f t="shared" si="5"/>
        <v>54000</v>
      </c>
      <c r="L120">
        <f t="shared" si="6"/>
        <v>18000</v>
      </c>
      <c r="M120" s="9">
        <f t="shared" si="7"/>
        <v>0.25</v>
      </c>
    </row>
    <row r="121" spans="1:13" x14ac:dyDescent="0.25">
      <c r="A121" t="s">
        <v>153</v>
      </c>
      <c r="B121" s="1">
        <v>45745</v>
      </c>
      <c r="C121" t="s">
        <v>20</v>
      </c>
      <c r="D121" t="s">
        <v>21</v>
      </c>
      <c r="E121" t="s">
        <v>78</v>
      </c>
      <c r="F121" t="s">
        <v>23</v>
      </c>
      <c r="G121">
        <v>3</v>
      </c>
      <c r="H121">
        <v>65000</v>
      </c>
      <c r="I121">
        <v>52000</v>
      </c>
      <c r="J121">
        <f t="shared" si="4"/>
        <v>195000</v>
      </c>
      <c r="K121">
        <f t="shared" si="5"/>
        <v>156000</v>
      </c>
      <c r="L121">
        <f t="shared" si="6"/>
        <v>39000</v>
      </c>
      <c r="M121" s="9">
        <f t="shared" si="7"/>
        <v>0.2</v>
      </c>
    </row>
    <row r="122" spans="1:13" x14ac:dyDescent="0.25">
      <c r="A122" t="s">
        <v>154</v>
      </c>
      <c r="B122" s="1">
        <v>45747</v>
      </c>
      <c r="C122" t="s">
        <v>15</v>
      </c>
      <c r="D122" t="s">
        <v>16</v>
      </c>
      <c r="E122" t="s">
        <v>78</v>
      </c>
      <c r="F122" t="s">
        <v>23</v>
      </c>
      <c r="G122">
        <v>8</v>
      </c>
      <c r="H122">
        <v>65000</v>
      </c>
      <c r="I122">
        <v>52000</v>
      </c>
      <c r="J122">
        <f t="shared" si="4"/>
        <v>520000</v>
      </c>
      <c r="K122">
        <f t="shared" si="5"/>
        <v>416000</v>
      </c>
      <c r="L122">
        <f t="shared" si="6"/>
        <v>104000</v>
      </c>
      <c r="M122" s="9">
        <f t="shared" si="7"/>
        <v>0.2</v>
      </c>
    </row>
    <row r="123" spans="1:13" x14ac:dyDescent="0.25">
      <c r="A123" t="s">
        <v>155</v>
      </c>
      <c r="B123" s="1">
        <v>45747</v>
      </c>
      <c r="C123" t="s">
        <v>39</v>
      </c>
      <c r="D123" t="s">
        <v>26</v>
      </c>
      <c r="E123" t="s">
        <v>17</v>
      </c>
      <c r="F123" t="s">
        <v>18</v>
      </c>
      <c r="G123">
        <v>4</v>
      </c>
      <c r="H123">
        <v>450</v>
      </c>
      <c r="I123">
        <v>230</v>
      </c>
      <c r="J123">
        <f t="shared" si="4"/>
        <v>1800</v>
      </c>
      <c r="K123">
        <f t="shared" si="5"/>
        <v>920</v>
      </c>
      <c r="L123">
        <f t="shared" si="6"/>
        <v>880</v>
      </c>
      <c r="M123" s="9">
        <f t="shared" si="7"/>
        <v>0.48888888888888887</v>
      </c>
    </row>
    <row r="124" spans="1:13" x14ac:dyDescent="0.25">
      <c r="A124" t="s">
        <v>156</v>
      </c>
      <c r="B124" s="1">
        <v>45749</v>
      </c>
      <c r="C124" t="s">
        <v>10</v>
      </c>
      <c r="D124" t="s">
        <v>16</v>
      </c>
      <c r="E124" t="s">
        <v>35</v>
      </c>
      <c r="F124" t="s">
        <v>32</v>
      </c>
      <c r="G124">
        <v>6</v>
      </c>
      <c r="H124">
        <v>2625</v>
      </c>
      <c r="I124">
        <v>1300</v>
      </c>
      <c r="J124">
        <f t="shared" si="4"/>
        <v>15750</v>
      </c>
      <c r="K124">
        <f t="shared" si="5"/>
        <v>7800</v>
      </c>
      <c r="L124">
        <f t="shared" si="6"/>
        <v>7950</v>
      </c>
      <c r="M124" s="9">
        <f t="shared" si="7"/>
        <v>0.50476190476190474</v>
      </c>
    </row>
    <row r="125" spans="1:13" x14ac:dyDescent="0.25">
      <c r="A125" t="s">
        <v>157</v>
      </c>
      <c r="B125" s="1">
        <v>45751</v>
      </c>
      <c r="C125" t="s">
        <v>20</v>
      </c>
      <c r="D125" t="s">
        <v>16</v>
      </c>
      <c r="E125" t="s">
        <v>31</v>
      </c>
      <c r="F125" t="s">
        <v>32</v>
      </c>
      <c r="G125">
        <v>6</v>
      </c>
      <c r="H125">
        <v>1200</v>
      </c>
      <c r="I125">
        <v>550</v>
      </c>
      <c r="J125">
        <f t="shared" si="4"/>
        <v>7200</v>
      </c>
      <c r="K125">
        <f t="shared" si="5"/>
        <v>3300</v>
      </c>
      <c r="L125">
        <f t="shared" si="6"/>
        <v>3900</v>
      </c>
      <c r="M125" s="9">
        <f t="shared" si="7"/>
        <v>0.54166666666666663</v>
      </c>
    </row>
    <row r="126" spans="1:13" x14ac:dyDescent="0.25">
      <c r="A126" t="s">
        <v>158</v>
      </c>
      <c r="B126" s="1">
        <v>45753</v>
      </c>
      <c r="C126" t="s">
        <v>15</v>
      </c>
      <c r="D126" t="s">
        <v>37</v>
      </c>
      <c r="E126" t="s">
        <v>35</v>
      </c>
      <c r="F126" t="s">
        <v>32</v>
      </c>
      <c r="G126">
        <v>5</v>
      </c>
      <c r="H126">
        <v>2500</v>
      </c>
      <c r="I126">
        <v>1300</v>
      </c>
      <c r="J126">
        <f t="shared" si="4"/>
        <v>12500</v>
      </c>
      <c r="K126">
        <f t="shared" si="5"/>
        <v>6500</v>
      </c>
      <c r="L126">
        <f t="shared" si="6"/>
        <v>6000</v>
      </c>
      <c r="M126" s="9">
        <f t="shared" si="7"/>
        <v>0.48</v>
      </c>
    </row>
    <row r="127" spans="1:13" x14ac:dyDescent="0.25">
      <c r="A127" t="s">
        <v>159</v>
      </c>
      <c r="B127" s="1">
        <v>45753</v>
      </c>
      <c r="C127" t="s">
        <v>39</v>
      </c>
      <c r="D127" t="s">
        <v>21</v>
      </c>
      <c r="E127" t="s">
        <v>27</v>
      </c>
      <c r="F127" t="s">
        <v>23</v>
      </c>
      <c r="G127">
        <v>1</v>
      </c>
      <c r="H127">
        <v>4500</v>
      </c>
      <c r="I127">
        <v>2800</v>
      </c>
      <c r="J127">
        <f t="shared" si="4"/>
        <v>4500</v>
      </c>
      <c r="K127">
        <f t="shared" si="5"/>
        <v>2800</v>
      </c>
      <c r="L127">
        <f t="shared" si="6"/>
        <v>1700</v>
      </c>
      <c r="M127" s="9">
        <f t="shared" si="7"/>
        <v>0.37777777777777777</v>
      </c>
    </row>
    <row r="128" spans="1:13" x14ac:dyDescent="0.25">
      <c r="A128" t="s">
        <v>160</v>
      </c>
      <c r="B128" s="1">
        <v>45754</v>
      </c>
      <c r="C128" t="s">
        <v>39</v>
      </c>
      <c r="D128" t="s">
        <v>16</v>
      </c>
      <c r="E128" t="s">
        <v>27</v>
      </c>
      <c r="F128" t="s">
        <v>23</v>
      </c>
      <c r="G128">
        <v>3</v>
      </c>
      <c r="H128">
        <v>4950</v>
      </c>
      <c r="I128">
        <v>2800</v>
      </c>
      <c r="J128">
        <f t="shared" si="4"/>
        <v>14850</v>
      </c>
      <c r="K128">
        <f t="shared" si="5"/>
        <v>8400</v>
      </c>
      <c r="L128">
        <f t="shared" si="6"/>
        <v>6450</v>
      </c>
      <c r="M128" s="9">
        <f t="shared" si="7"/>
        <v>0.43434343434343436</v>
      </c>
    </row>
    <row r="129" spans="1:13" x14ac:dyDescent="0.25">
      <c r="A129" t="s">
        <v>161</v>
      </c>
      <c r="B129" s="1">
        <v>45755</v>
      </c>
      <c r="C129" t="s">
        <v>10</v>
      </c>
      <c r="D129" t="s">
        <v>37</v>
      </c>
      <c r="E129" t="s">
        <v>59</v>
      </c>
      <c r="F129" t="s">
        <v>32</v>
      </c>
      <c r="G129">
        <v>8</v>
      </c>
      <c r="H129">
        <v>900</v>
      </c>
      <c r="I129">
        <v>400</v>
      </c>
      <c r="J129">
        <f t="shared" si="4"/>
        <v>7200</v>
      </c>
      <c r="K129">
        <f t="shared" si="5"/>
        <v>3200</v>
      </c>
      <c r="L129">
        <f t="shared" si="6"/>
        <v>4000</v>
      </c>
      <c r="M129" s="9">
        <f t="shared" si="7"/>
        <v>0.55555555555555558</v>
      </c>
    </row>
    <row r="130" spans="1:13" x14ac:dyDescent="0.25">
      <c r="A130" t="s">
        <v>162</v>
      </c>
      <c r="B130" s="1">
        <v>45755</v>
      </c>
      <c r="C130" t="s">
        <v>25</v>
      </c>
      <c r="D130" t="s">
        <v>11</v>
      </c>
      <c r="E130" t="s">
        <v>22</v>
      </c>
      <c r="F130" t="s">
        <v>23</v>
      </c>
      <c r="G130">
        <v>8</v>
      </c>
      <c r="H130">
        <v>18000</v>
      </c>
      <c r="I130">
        <v>13500</v>
      </c>
      <c r="J130">
        <f t="shared" ref="J130:J193" si="8">G130*H130</f>
        <v>144000</v>
      </c>
      <c r="K130">
        <f t="shared" ref="K130:K193" si="9">G130*I130</f>
        <v>108000</v>
      </c>
      <c r="L130">
        <f t="shared" ref="L130:L193" si="10">J130-K130</f>
        <v>36000</v>
      </c>
      <c r="M130" s="9">
        <f t="shared" si="7"/>
        <v>0.25</v>
      </c>
    </row>
    <row r="131" spans="1:13" x14ac:dyDescent="0.25">
      <c r="A131" t="s">
        <v>163</v>
      </c>
      <c r="B131" s="1">
        <v>45757</v>
      </c>
      <c r="C131" t="s">
        <v>10</v>
      </c>
      <c r="D131" t="s">
        <v>26</v>
      </c>
      <c r="E131" t="s">
        <v>22</v>
      </c>
      <c r="F131" t="s">
        <v>23</v>
      </c>
      <c r="G131">
        <v>1</v>
      </c>
      <c r="H131">
        <v>18000</v>
      </c>
      <c r="I131">
        <v>13500</v>
      </c>
      <c r="J131">
        <f t="shared" si="8"/>
        <v>18000</v>
      </c>
      <c r="K131">
        <f t="shared" si="9"/>
        <v>13500</v>
      </c>
      <c r="L131">
        <f t="shared" si="10"/>
        <v>4500</v>
      </c>
      <c r="M131" s="9">
        <f t="shared" ref="M131:M194" si="11">(J131-K131)/J131</f>
        <v>0.25</v>
      </c>
    </row>
    <row r="132" spans="1:13" x14ac:dyDescent="0.25">
      <c r="A132" t="s">
        <v>164</v>
      </c>
      <c r="B132" s="1">
        <v>45758</v>
      </c>
      <c r="C132" t="s">
        <v>20</v>
      </c>
      <c r="D132" t="s">
        <v>29</v>
      </c>
      <c r="E132" t="s">
        <v>12</v>
      </c>
      <c r="F132" t="s">
        <v>13</v>
      </c>
      <c r="G132">
        <v>2</v>
      </c>
      <c r="H132">
        <v>19800</v>
      </c>
      <c r="I132">
        <v>15500</v>
      </c>
      <c r="J132">
        <f t="shared" si="8"/>
        <v>39600</v>
      </c>
      <c r="K132">
        <f t="shared" si="9"/>
        <v>31000</v>
      </c>
      <c r="L132">
        <f t="shared" si="10"/>
        <v>8600</v>
      </c>
      <c r="M132" s="9">
        <f t="shared" si="11"/>
        <v>0.21717171717171718</v>
      </c>
    </row>
    <row r="133" spans="1:13" x14ac:dyDescent="0.25">
      <c r="A133" t="s">
        <v>165</v>
      </c>
      <c r="B133" s="1">
        <v>45758</v>
      </c>
      <c r="C133" t="s">
        <v>39</v>
      </c>
      <c r="D133" t="s">
        <v>16</v>
      </c>
      <c r="E133" t="s">
        <v>78</v>
      </c>
      <c r="F133" t="s">
        <v>23</v>
      </c>
      <c r="G133">
        <v>5</v>
      </c>
      <c r="H133">
        <v>65000</v>
      </c>
      <c r="I133">
        <v>52000</v>
      </c>
      <c r="J133">
        <f t="shared" si="8"/>
        <v>325000</v>
      </c>
      <c r="K133">
        <f t="shared" si="9"/>
        <v>260000</v>
      </c>
      <c r="L133">
        <f t="shared" si="10"/>
        <v>65000</v>
      </c>
      <c r="M133" s="9">
        <f t="shared" si="11"/>
        <v>0.2</v>
      </c>
    </row>
    <row r="134" spans="1:13" x14ac:dyDescent="0.25">
      <c r="A134" t="s">
        <v>166</v>
      </c>
      <c r="B134" s="1">
        <v>45759</v>
      </c>
      <c r="C134" t="s">
        <v>15</v>
      </c>
      <c r="D134" t="s">
        <v>21</v>
      </c>
      <c r="E134" t="s">
        <v>78</v>
      </c>
      <c r="F134" t="s">
        <v>23</v>
      </c>
      <c r="G134">
        <v>1</v>
      </c>
      <c r="H134">
        <v>65000</v>
      </c>
      <c r="I134">
        <v>52000</v>
      </c>
      <c r="J134">
        <f t="shared" si="8"/>
        <v>65000</v>
      </c>
      <c r="K134">
        <f t="shared" si="9"/>
        <v>52000</v>
      </c>
      <c r="L134">
        <f t="shared" si="10"/>
        <v>13000</v>
      </c>
      <c r="M134" s="9">
        <f t="shared" si="11"/>
        <v>0.2</v>
      </c>
    </row>
    <row r="135" spans="1:13" x14ac:dyDescent="0.25">
      <c r="A135" t="s">
        <v>167</v>
      </c>
      <c r="B135" s="1">
        <v>45759</v>
      </c>
      <c r="C135" t="s">
        <v>10</v>
      </c>
      <c r="D135" t="s">
        <v>21</v>
      </c>
      <c r="E135" t="s">
        <v>17</v>
      </c>
      <c r="F135" t="s">
        <v>18</v>
      </c>
      <c r="G135">
        <v>5</v>
      </c>
      <c r="H135">
        <v>495</v>
      </c>
      <c r="I135">
        <v>230</v>
      </c>
      <c r="J135">
        <f t="shared" si="8"/>
        <v>2475</v>
      </c>
      <c r="K135">
        <f t="shared" si="9"/>
        <v>1150</v>
      </c>
      <c r="L135">
        <f t="shared" si="10"/>
        <v>1325</v>
      </c>
      <c r="M135" s="9">
        <f t="shared" si="11"/>
        <v>0.53535353535353536</v>
      </c>
    </row>
    <row r="136" spans="1:13" x14ac:dyDescent="0.25">
      <c r="A136" t="s">
        <v>168</v>
      </c>
      <c r="B136" s="1">
        <v>45759</v>
      </c>
      <c r="C136" t="s">
        <v>15</v>
      </c>
      <c r="D136" t="s">
        <v>16</v>
      </c>
      <c r="E136" t="s">
        <v>35</v>
      </c>
      <c r="F136" t="s">
        <v>32</v>
      </c>
      <c r="G136">
        <v>3</v>
      </c>
      <c r="H136">
        <v>2500</v>
      </c>
      <c r="I136">
        <v>1300</v>
      </c>
      <c r="J136">
        <f t="shared" si="8"/>
        <v>7500</v>
      </c>
      <c r="K136">
        <f t="shared" si="9"/>
        <v>3900</v>
      </c>
      <c r="L136">
        <f t="shared" si="10"/>
        <v>3600</v>
      </c>
      <c r="M136" s="9">
        <f t="shared" si="11"/>
        <v>0.48</v>
      </c>
    </row>
    <row r="137" spans="1:13" x14ac:dyDescent="0.25">
      <c r="A137" t="s">
        <v>169</v>
      </c>
      <c r="B137" s="1">
        <v>45760</v>
      </c>
      <c r="C137" t="s">
        <v>10</v>
      </c>
      <c r="D137" t="s">
        <v>26</v>
      </c>
      <c r="E137" t="s">
        <v>35</v>
      </c>
      <c r="F137" t="s">
        <v>32</v>
      </c>
      <c r="G137">
        <v>3</v>
      </c>
      <c r="H137">
        <v>2500</v>
      </c>
      <c r="I137">
        <v>1300</v>
      </c>
      <c r="J137">
        <f t="shared" si="8"/>
        <v>7500</v>
      </c>
      <c r="K137">
        <f t="shared" si="9"/>
        <v>3900</v>
      </c>
      <c r="L137">
        <f t="shared" si="10"/>
        <v>3600</v>
      </c>
      <c r="M137" s="9">
        <f t="shared" si="11"/>
        <v>0.48</v>
      </c>
    </row>
    <row r="138" spans="1:13" x14ac:dyDescent="0.25">
      <c r="A138" t="s">
        <v>170</v>
      </c>
      <c r="B138" s="1">
        <v>45760</v>
      </c>
      <c r="C138" t="s">
        <v>20</v>
      </c>
      <c r="D138" t="s">
        <v>16</v>
      </c>
      <c r="E138" t="s">
        <v>22</v>
      </c>
      <c r="F138" t="s">
        <v>23</v>
      </c>
      <c r="G138">
        <v>1</v>
      </c>
      <c r="H138">
        <v>18000</v>
      </c>
      <c r="I138">
        <v>13500</v>
      </c>
      <c r="J138">
        <f t="shared" si="8"/>
        <v>18000</v>
      </c>
      <c r="K138">
        <f t="shared" si="9"/>
        <v>13500</v>
      </c>
      <c r="L138">
        <f t="shared" si="10"/>
        <v>4500</v>
      </c>
      <c r="M138" s="9">
        <f t="shared" si="11"/>
        <v>0.25</v>
      </c>
    </row>
    <row r="139" spans="1:13" x14ac:dyDescent="0.25">
      <c r="A139" t="s">
        <v>171</v>
      </c>
      <c r="B139" s="1">
        <v>45760</v>
      </c>
      <c r="C139" t="s">
        <v>25</v>
      </c>
      <c r="D139" t="s">
        <v>26</v>
      </c>
      <c r="E139" t="s">
        <v>31</v>
      </c>
      <c r="F139" t="s">
        <v>32</v>
      </c>
      <c r="G139">
        <v>5</v>
      </c>
      <c r="H139">
        <v>1260</v>
      </c>
      <c r="I139">
        <v>550</v>
      </c>
      <c r="J139">
        <f t="shared" si="8"/>
        <v>6300</v>
      </c>
      <c r="K139">
        <f t="shared" si="9"/>
        <v>2750</v>
      </c>
      <c r="L139">
        <f t="shared" si="10"/>
        <v>3550</v>
      </c>
      <c r="M139" s="9">
        <f t="shared" si="11"/>
        <v>0.56349206349206349</v>
      </c>
    </row>
    <row r="140" spans="1:13" x14ac:dyDescent="0.25">
      <c r="A140" t="s">
        <v>172</v>
      </c>
      <c r="B140" s="1">
        <v>45761</v>
      </c>
      <c r="C140" t="s">
        <v>25</v>
      </c>
      <c r="D140" t="s">
        <v>21</v>
      </c>
      <c r="E140" t="s">
        <v>22</v>
      </c>
      <c r="F140" t="s">
        <v>23</v>
      </c>
      <c r="G140">
        <v>8</v>
      </c>
      <c r="H140">
        <v>18000</v>
      </c>
      <c r="I140">
        <v>13500</v>
      </c>
      <c r="J140">
        <f t="shared" si="8"/>
        <v>144000</v>
      </c>
      <c r="K140">
        <f t="shared" si="9"/>
        <v>108000</v>
      </c>
      <c r="L140">
        <f t="shared" si="10"/>
        <v>36000</v>
      </c>
      <c r="M140" s="9">
        <f t="shared" si="11"/>
        <v>0.25</v>
      </c>
    </row>
    <row r="141" spans="1:13" x14ac:dyDescent="0.25">
      <c r="A141" t="s">
        <v>173</v>
      </c>
      <c r="B141" s="1">
        <v>45762</v>
      </c>
      <c r="C141" t="s">
        <v>15</v>
      </c>
      <c r="D141" t="s">
        <v>37</v>
      </c>
      <c r="E141" t="s">
        <v>31</v>
      </c>
      <c r="F141" t="s">
        <v>32</v>
      </c>
      <c r="G141">
        <v>8</v>
      </c>
      <c r="H141">
        <v>1200</v>
      </c>
      <c r="I141">
        <v>550</v>
      </c>
      <c r="J141">
        <f t="shared" si="8"/>
        <v>9600</v>
      </c>
      <c r="K141">
        <f t="shared" si="9"/>
        <v>4400</v>
      </c>
      <c r="L141">
        <f t="shared" si="10"/>
        <v>5200</v>
      </c>
      <c r="M141" s="9">
        <f t="shared" si="11"/>
        <v>0.54166666666666663</v>
      </c>
    </row>
    <row r="142" spans="1:13" x14ac:dyDescent="0.25">
      <c r="A142" t="s">
        <v>174</v>
      </c>
      <c r="B142" s="1">
        <v>45763</v>
      </c>
      <c r="C142" t="s">
        <v>15</v>
      </c>
      <c r="D142" t="s">
        <v>29</v>
      </c>
      <c r="E142" t="s">
        <v>31</v>
      </c>
      <c r="F142" t="s">
        <v>32</v>
      </c>
      <c r="G142">
        <v>4</v>
      </c>
      <c r="H142">
        <v>1200</v>
      </c>
      <c r="I142">
        <v>550</v>
      </c>
      <c r="J142">
        <f t="shared" si="8"/>
        <v>4800</v>
      </c>
      <c r="K142">
        <f t="shared" si="9"/>
        <v>2200</v>
      </c>
      <c r="L142">
        <f t="shared" si="10"/>
        <v>2600</v>
      </c>
      <c r="M142" s="9">
        <f t="shared" si="11"/>
        <v>0.54166666666666663</v>
      </c>
    </row>
    <row r="143" spans="1:13" x14ac:dyDescent="0.25">
      <c r="A143" t="s">
        <v>175</v>
      </c>
      <c r="B143" s="1">
        <v>45763</v>
      </c>
      <c r="C143" t="s">
        <v>20</v>
      </c>
      <c r="D143" t="s">
        <v>21</v>
      </c>
      <c r="E143" t="s">
        <v>17</v>
      </c>
      <c r="F143" t="s">
        <v>18</v>
      </c>
      <c r="G143">
        <v>5</v>
      </c>
      <c r="H143">
        <v>405</v>
      </c>
      <c r="I143">
        <v>230</v>
      </c>
      <c r="J143">
        <f t="shared" si="8"/>
        <v>2025</v>
      </c>
      <c r="K143">
        <f t="shared" si="9"/>
        <v>1150</v>
      </c>
      <c r="L143">
        <f t="shared" si="10"/>
        <v>875</v>
      </c>
      <c r="M143" s="9">
        <f t="shared" si="11"/>
        <v>0.43209876543209874</v>
      </c>
    </row>
    <row r="144" spans="1:13" x14ac:dyDescent="0.25">
      <c r="A144" t="s">
        <v>176</v>
      </c>
      <c r="B144" s="1">
        <v>45763</v>
      </c>
      <c r="C144" t="s">
        <v>25</v>
      </c>
      <c r="D144" t="s">
        <v>11</v>
      </c>
      <c r="E144" t="s">
        <v>27</v>
      </c>
      <c r="F144" t="s">
        <v>23</v>
      </c>
      <c r="G144">
        <v>4</v>
      </c>
      <c r="H144">
        <v>4050</v>
      </c>
      <c r="I144">
        <v>2800</v>
      </c>
      <c r="J144">
        <f t="shared" si="8"/>
        <v>16200</v>
      </c>
      <c r="K144">
        <f t="shared" si="9"/>
        <v>11200</v>
      </c>
      <c r="L144">
        <f t="shared" si="10"/>
        <v>5000</v>
      </c>
      <c r="M144" s="9">
        <f t="shared" si="11"/>
        <v>0.30864197530864196</v>
      </c>
    </row>
    <row r="145" spans="1:13" x14ac:dyDescent="0.25">
      <c r="A145" t="s">
        <v>177</v>
      </c>
      <c r="B145" s="1">
        <v>45764</v>
      </c>
      <c r="C145" t="s">
        <v>25</v>
      </c>
      <c r="D145" t="s">
        <v>29</v>
      </c>
      <c r="E145" t="s">
        <v>59</v>
      </c>
      <c r="F145" t="s">
        <v>32</v>
      </c>
      <c r="G145">
        <v>7</v>
      </c>
      <c r="H145">
        <v>810</v>
      </c>
      <c r="I145">
        <v>400</v>
      </c>
      <c r="J145">
        <f t="shared" si="8"/>
        <v>5670</v>
      </c>
      <c r="K145">
        <f t="shared" si="9"/>
        <v>2800</v>
      </c>
      <c r="L145">
        <f t="shared" si="10"/>
        <v>2870</v>
      </c>
      <c r="M145" s="9">
        <f t="shared" si="11"/>
        <v>0.50617283950617287</v>
      </c>
    </row>
    <row r="146" spans="1:13" x14ac:dyDescent="0.25">
      <c r="A146" t="s">
        <v>178</v>
      </c>
      <c r="B146" s="1">
        <v>45765</v>
      </c>
      <c r="C146" t="s">
        <v>10</v>
      </c>
      <c r="D146" t="s">
        <v>37</v>
      </c>
      <c r="E146" t="s">
        <v>17</v>
      </c>
      <c r="F146" t="s">
        <v>18</v>
      </c>
      <c r="G146">
        <v>8</v>
      </c>
      <c r="H146">
        <v>450</v>
      </c>
      <c r="I146">
        <v>230</v>
      </c>
      <c r="J146">
        <f t="shared" si="8"/>
        <v>3600</v>
      </c>
      <c r="K146">
        <f t="shared" si="9"/>
        <v>1840</v>
      </c>
      <c r="L146">
        <f t="shared" si="10"/>
        <v>1760</v>
      </c>
      <c r="M146" s="9">
        <f t="shared" si="11"/>
        <v>0.48888888888888887</v>
      </c>
    </row>
    <row r="147" spans="1:13" x14ac:dyDescent="0.25">
      <c r="A147" t="s">
        <v>179</v>
      </c>
      <c r="B147" s="1">
        <v>45765</v>
      </c>
      <c r="C147" t="s">
        <v>10</v>
      </c>
      <c r="D147" t="s">
        <v>26</v>
      </c>
      <c r="E147" t="s">
        <v>17</v>
      </c>
      <c r="F147" t="s">
        <v>18</v>
      </c>
      <c r="G147">
        <v>2</v>
      </c>
      <c r="H147">
        <v>450</v>
      </c>
      <c r="I147">
        <v>230</v>
      </c>
      <c r="J147">
        <f t="shared" si="8"/>
        <v>900</v>
      </c>
      <c r="K147">
        <f t="shared" si="9"/>
        <v>460</v>
      </c>
      <c r="L147">
        <f t="shared" si="10"/>
        <v>440</v>
      </c>
      <c r="M147" s="9">
        <f t="shared" si="11"/>
        <v>0.48888888888888887</v>
      </c>
    </row>
    <row r="148" spans="1:13" x14ac:dyDescent="0.25">
      <c r="A148" t="s">
        <v>180</v>
      </c>
      <c r="B148" s="1">
        <v>45766</v>
      </c>
      <c r="C148" t="s">
        <v>15</v>
      </c>
      <c r="D148" t="s">
        <v>26</v>
      </c>
      <c r="E148" t="s">
        <v>31</v>
      </c>
      <c r="F148" t="s">
        <v>32</v>
      </c>
      <c r="G148">
        <v>7</v>
      </c>
      <c r="H148">
        <v>1200</v>
      </c>
      <c r="I148">
        <v>550</v>
      </c>
      <c r="J148">
        <f t="shared" si="8"/>
        <v>8400</v>
      </c>
      <c r="K148">
        <f t="shared" si="9"/>
        <v>3850</v>
      </c>
      <c r="L148">
        <f t="shared" si="10"/>
        <v>4550</v>
      </c>
      <c r="M148" s="9">
        <f t="shared" si="11"/>
        <v>0.54166666666666663</v>
      </c>
    </row>
    <row r="149" spans="1:13" x14ac:dyDescent="0.25">
      <c r="A149" t="s">
        <v>181</v>
      </c>
      <c r="B149" s="1">
        <v>45767</v>
      </c>
      <c r="C149" t="s">
        <v>20</v>
      </c>
      <c r="D149" t="s">
        <v>21</v>
      </c>
      <c r="E149" t="s">
        <v>31</v>
      </c>
      <c r="F149" t="s">
        <v>32</v>
      </c>
      <c r="G149">
        <v>3</v>
      </c>
      <c r="H149">
        <v>1200</v>
      </c>
      <c r="I149">
        <v>550</v>
      </c>
      <c r="J149">
        <f t="shared" si="8"/>
        <v>3600</v>
      </c>
      <c r="K149">
        <f t="shared" si="9"/>
        <v>1650</v>
      </c>
      <c r="L149">
        <f t="shared" si="10"/>
        <v>1950</v>
      </c>
      <c r="M149" s="9">
        <f t="shared" si="11"/>
        <v>0.54166666666666663</v>
      </c>
    </row>
    <row r="150" spans="1:13" x14ac:dyDescent="0.25">
      <c r="A150" t="s">
        <v>182</v>
      </c>
      <c r="B150" s="1">
        <v>45767</v>
      </c>
      <c r="C150" t="s">
        <v>15</v>
      </c>
      <c r="D150" t="s">
        <v>37</v>
      </c>
      <c r="E150" t="s">
        <v>31</v>
      </c>
      <c r="F150" t="s">
        <v>32</v>
      </c>
      <c r="G150">
        <v>5</v>
      </c>
      <c r="H150">
        <v>1200</v>
      </c>
      <c r="I150">
        <v>550</v>
      </c>
      <c r="J150">
        <f t="shared" si="8"/>
        <v>6000</v>
      </c>
      <c r="K150">
        <f t="shared" si="9"/>
        <v>2750</v>
      </c>
      <c r="L150">
        <f t="shared" si="10"/>
        <v>3250</v>
      </c>
      <c r="M150" s="9">
        <f t="shared" si="11"/>
        <v>0.54166666666666663</v>
      </c>
    </row>
    <row r="151" spans="1:13" x14ac:dyDescent="0.25">
      <c r="A151" t="s">
        <v>183</v>
      </c>
      <c r="B151" s="1">
        <v>45767</v>
      </c>
      <c r="C151" t="s">
        <v>25</v>
      </c>
      <c r="D151" t="s">
        <v>26</v>
      </c>
      <c r="E151" t="s">
        <v>17</v>
      </c>
      <c r="F151" t="s">
        <v>18</v>
      </c>
      <c r="G151">
        <v>8</v>
      </c>
      <c r="H151">
        <v>450</v>
      </c>
      <c r="I151">
        <v>230</v>
      </c>
      <c r="J151">
        <f t="shared" si="8"/>
        <v>3600</v>
      </c>
      <c r="K151">
        <f t="shared" si="9"/>
        <v>1840</v>
      </c>
      <c r="L151">
        <f t="shared" si="10"/>
        <v>1760</v>
      </c>
      <c r="M151" s="9">
        <f t="shared" si="11"/>
        <v>0.48888888888888887</v>
      </c>
    </row>
    <row r="152" spans="1:13" x14ac:dyDescent="0.25">
      <c r="A152" t="s">
        <v>184</v>
      </c>
      <c r="B152" s="1">
        <v>45768</v>
      </c>
      <c r="C152" t="s">
        <v>10</v>
      </c>
      <c r="D152" t="s">
        <v>37</v>
      </c>
      <c r="E152" t="s">
        <v>43</v>
      </c>
      <c r="F152" t="s">
        <v>13</v>
      </c>
      <c r="G152">
        <v>1</v>
      </c>
      <c r="H152">
        <v>12500</v>
      </c>
      <c r="I152">
        <v>8500</v>
      </c>
      <c r="J152">
        <f t="shared" si="8"/>
        <v>12500</v>
      </c>
      <c r="K152">
        <f t="shared" si="9"/>
        <v>8500</v>
      </c>
      <c r="L152">
        <f t="shared" si="10"/>
        <v>4000</v>
      </c>
      <c r="M152" s="9">
        <f t="shared" si="11"/>
        <v>0.32</v>
      </c>
    </row>
    <row r="153" spans="1:13" x14ac:dyDescent="0.25">
      <c r="A153" t="s">
        <v>185</v>
      </c>
      <c r="B153" s="1">
        <v>45768</v>
      </c>
      <c r="C153" t="s">
        <v>15</v>
      </c>
      <c r="D153" t="s">
        <v>26</v>
      </c>
      <c r="E153" t="s">
        <v>35</v>
      </c>
      <c r="F153" t="s">
        <v>32</v>
      </c>
      <c r="G153">
        <v>5</v>
      </c>
      <c r="H153">
        <v>2500</v>
      </c>
      <c r="I153">
        <v>1300</v>
      </c>
      <c r="J153">
        <f t="shared" si="8"/>
        <v>12500</v>
      </c>
      <c r="K153">
        <f t="shared" si="9"/>
        <v>6500</v>
      </c>
      <c r="L153">
        <f t="shared" si="10"/>
        <v>6000</v>
      </c>
      <c r="M153" s="9">
        <f t="shared" si="11"/>
        <v>0.48</v>
      </c>
    </row>
    <row r="154" spans="1:13" x14ac:dyDescent="0.25">
      <c r="A154" t="s">
        <v>186</v>
      </c>
      <c r="B154" s="1">
        <v>45768</v>
      </c>
      <c r="C154" t="s">
        <v>25</v>
      </c>
      <c r="D154" t="s">
        <v>29</v>
      </c>
      <c r="E154" t="s">
        <v>27</v>
      </c>
      <c r="F154" t="s">
        <v>23</v>
      </c>
      <c r="G154">
        <v>6</v>
      </c>
      <c r="H154">
        <v>4500</v>
      </c>
      <c r="I154">
        <v>2800</v>
      </c>
      <c r="J154">
        <f t="shared" si="8"/>
        <v>27000</v>
      </c>
      <c r="K154">
        <f t="shared" si="9"/>
        <v>16800</v>
      </c>
      <c r="L154">
        <f t="shared" si="10"/>
        <v>10200</v>
      </c>
      <c r="M154" s="9">
        <f t="shared" si="11"/>
        <v>0.37777777777777777</v>
      </c>
    </row>
    <row r="155" spans="1:13" x14ac:dyDescent="0.25">
      <c r="A155" t="s">
        <v>187</v>
      </c>
      <c r="B155" s="1">
        <v>45769</v>
      </c>
      <c r="C155" t="s">
        <v>15</v>
      </c>
      <c r="D155" t="s">
        <v>16</v>
      </c>
      <c r="E155" t="s">
        <v>22</v>
      </c>
      <c r="F155" t="s">
        <v>23</v>
      </c>
      <c r="G155">
        <v>5</v>
      </c>
      <c r="H155">
        <v>18000</v>
      </c>
      <c r="I155">
        <v>13500</v>
      </c>
      <c r="J155">
        <f t="shared" si="8"/>
        <v>90000</v>
      </c>
      <c r="K155">
        <f t="shared" si="9"/>
        <v>67500</v>
      </c>
      <c r="L155">
        <f t="shared" si="10"/>
        <v>22500</v>
      </c>
      <c r="M155" s="9">
        <f t="shared" si="11"/>
        <v>0.25</v>
      </c>
    </row>
    <row r="156" spans="1:13" x14ac:dyDescent="0.25">
      <c r="A156" t="s">
        <v>188</v>
      </c>
      <c r="B156" s="1">
        <v>45770</v>
      </c>
      <c r="C156" t="s">
        <v>15</v>
      </c>
      <c r="D156" t="s">
        <v>11</v>
      </c>
      <c r="E156" t="s">
        <v>59</v>
      </c>
      <c r="F156" t="s">
        <v>32</v>
      </c>
      <c r="G156">
        <v>3</v>
      </c>
      <c r="H156">
        <v>810</v>
      </c>
      <c r="I156">
        <v>400</v>
      </c>
      <c r="J156">
        <f t="shared" si="8"/>
        <v>2430</v>
      </c>
      <c r="K156">
        <f t="shared" si="9"/>
        <v>1200</v>
      </c>
      <c r="L156">
        <f t="shared" si="10"/>
        <v>1230</v>
      </c>
      <c r="M156" s="9">
        <f t="shared" si="11"/>
        <v>0.50617283950617287</v>
      </c>
    </row>
    <row r="157" spans="1:13" x14ac:dyDescent="0.25">
      <c r="A157" t="s">
        <v>189</v>
      </c>
      <c r="B157" s="1">
        <v>45771</v>
      </c>
      <c r="C157" t="s">
        <v>39</v>
      </c>
      <c r="D157" t="s">
        <v>37</v>
      </c>
      <c r="E157" t="s">
        <v>35</v>
      </c>
      <c r="F157" t="s">
        <v>32</v>
      </c>
      <c r="G157">
        <v>4</v>
      </c>
      <c r="H157">
        <v>2500</v>
      </c>
      <c r="I157">
        <v>1300</v>
      </c>
      <c r="J157">
        <f t="shared" si="8"/>
        <v>10000</v>
      </c>
      <c r="K157">
        <f t="shared" si="9"/>
        <v>5200</v>
      </c>
      <c r="L157">
        <f t="shared" si="10"/>
        <v>4800</v>
      </c>
      <c r="M157" s="9">
        <f t="shared" si="11"/>
        <v>0.48</v>
      </c>
    </row>
    <row r="158" spans="1:13" x14ac:dyDescent="0.25">
      <c r="A158" t="s">
        <v>190</v>
      </c>
      <c r="B158" s="1">
        <v>45771</v>
      </c>
      <c r="C158" t="s">
        <v>15</v>
      </c>
      <c r="D158" t="s">
        <v>16</v>
      </c>
      <c r="E158" t="s">
        <v>27</v>
      </c>
      <c r="F158" t="s">
        <v>23</v>
      </c>
      <c r="G158">
        <v>6</v>
      </c>
      <c r="H158">
        <v>4725</v>
      </c>
      <c r="I158">
        <v>2800</v>
      </c>
      <c r="J158">
        <f t="shared" si="8"/>
        <v>28350</v>
      </c>
      <c r="K158">
        <f t="shared" si="9"/>
        <v>16800</v>
      </c>
      <c r="L158">
        <f t="shared" si="10"/>
        <v>11550</v>
      </c>
      <c r="M158" s="9">
        <f t="shared" si="11"/>
        <v>0.40740740740740738</v>
      </c>
    </row>
    <row r="159" spans="1:13" x14ac:dyDescent="0.25">
      <c r="A159" t="s">
        <v>191</v>
      </c>
      <c r="B159" s="1">
        <v>45772</v>
      </c>
      <c r="C159" t="s">
        <v>39</v>
      </c>
      <c r="D159" t="s">
        <v>37</v>
      </c>
      <c r="E159" t="s">
        <v>27</v>
      </c>
      <c r="F159" t="s">
        <v>23</v>
      </c>
      <c r="G159">
        <v>7</v>
      </c>
      <c r="H159">
        <v>4500</v>
      </c>
      <c r="I159">
        <v>2800</v>
      </c>
      <c r="J159">
        <f t="shared" si="8"/>
        <v>31500</v>
      </c>
      <c r="K159">
        <f t="shared" si="9"/>
        <v>19600</v>
      </c>
      <c r="L159">
        <f t="shared" si="10"/>
        <v>11900</v>
      </c>
      <c r="M159" s="9">
        <f t="shared" si="11"/>
        <v>0.37777777777777777</v>
      </c>
    </row>
    <row r="160" spans="1:13" x14ac:dyDescent="0.25">
      <c r="A160" t="s">
        <v>192</v>
      </c>
      <c r="B160" s="1">
        <v>45772</v>
      </c>
      <c r="C160" t="s">
        <v>15</v>
      </c>
      <c r="D160" t="s">
        <v>11</v>
      </c>
      <c r="E160" t="s">
        <v>22</v>
      </c>
      <c r="F160" t="s">
        <v>23</v>
      </c>
      <c r="G160">
        <v>1</v>
      </c>
      <c r="H160">
        <v>19800</v>
      </c>
      <c r="I160">
        <v>13500</v>
      </c>
      <c r="J160">
        <f t="shared" si="8"/>
        <v>19800</v>
      </c>
      <c r="K160">
        <f t="shared" si="9"/>
        <v>13500</v>
      </c>
      <c r="L160">
        <f t="shared" si="10"/>
        <v>6300</v>
      </c>
      <c r="M160" s="9">
        <f t="shared" si="11"/>
        <v>0.31818181818181818</v>
      </c>
    </row>
    <row r="161" spans="1:13" x14ac:dyDescent="0.25">
      <c r="A161" t="s">
        <v>193</v>
      </c>
      <c r="B161" s="1">
        <v>45773</v>
      </c>
      <c r="C161" t="s">
        <v>15</v>
      </c>
      <c r="D161" t="s">
        <v>11</v>
      </c>
      <c r="E161" t="s">
        <v>50</v>
      </c>
      <c r="F161" t="s">
        <v>18</v>
      </c>
      <c r="G161">
        <v>8</v>
      </c>
      <c r="H161">
        <v>21600</v>
      </c>
      <c r="I161">
        <v>18500</v>
      </c>
      <c r="J161">
        <f t="shared" si="8"/>
        <v>172800</v>
      </c>
      <c r="K161">
        <f t="shared" si="9"/>
        <v>148000</v>
      </c>
      <c r="L161">
        <f t="shared" si="10"/>
        <v>24800</v>
      </c>
      <c r="M161" s="9">
        <f t="shared" si="11"/>
        <v>0.14351851851851852</v>
      </c>
    </row>
    <row r="162" spans="1:13" x14ac:dyDescent="0.25">
      <c r="A162" t="s">
        <v>194</v>
      </c>
      <c r="B162" s="1">
        <v>45773</v>
      </c>
      <c r="C162" t="s">
        <v>15</v>
      </c>
      <c r="D162" t="s">
        <v>29</v>
      </c>
      <c r="E162" t="s">
        <v>59</v>
      </c>
      <c r="F162" t="s">
        <v>32</v>
      </c>
      <c r="G162">
        <v>8</v>
      </c>
      <c r="H162">
        <v>945</v>
      </c>
      <c r="I162">
        <v>400</v>
      </c>
      <c r="J162">
        <f t="shared" si="8"/>
        <v>7560</v>
      </c>
      <c r="K162">
        <f t="shared" si="9"/>
        <v>3200</v>
      </c>
      <c r="L162">
        <f t="shared" si="10"/>
        <v>4360</v>
      </c>
      <c r="M162" s="9">
        <f t="shared" si="11"/>
        <v>0.57671957671957674</v>
      </c>
    </row>
    <row r="163" spans="1:13" x14ac:dyDescent="0.25">
      <c r="A163" t="s">
        <v>195</v>
      </c>
      <c r="B163" s="1">
        <v>45773</v>
      </c>
      <c r="C163" t="s">
        <v>15</v>
      </c>
      <c r="D163" t="s">
        <v>29</v>
      </c>
      <c r="E163" t="s">
        <v>12</v>
      </c>
      <c r="F163" t="s">
        <v>13</v>
      </c>
      <c r="G163">
        <v>2</v>
      </c>
      <c r="H163">
        <v>22000</v>
      </c>
      <c r="I163">
        <v>15500</v>
      </c>
      <c r="J163">
        <f t="shared" si="8"/>
        <v>44000</v>
      </c>
      <c r="K163">
        <f t="shared" si="9"/>
        <v>31000</v>
      </c>
      <c r="L163">
        <f t="shared" si="10"/>
        <v>13000</v>
      </c>
      <c r="M163" s="9">
        <f t="shared" si="11"/>
        <v>0.29545454545454547</v>
      </c>
    </row>
    <row r="164" spans="1:13" x14ac:dyDescent="0.25">
      <c r="A164" t="s">
        <v>196</v>
      </c>
      <c r="B164" s="1">
        <v>45774</v>
      </c>
      <c r="C164" t="s">
        <v>10</v>
      </c>
      <c r="D164" t="s">
        <v>29</v>
      </c>
      <c r="E164" t="s">
        <v>35</v>
      </c>
      <c r="F164" t="s">
        <v>32</v>
      </c>
      <c r="G164">
        <v>6</v>
      </c>
      <c r="H164">
        <v>2500</v>
      </c>
      <c r="I164">
        <v>1300</v>
      </c>
      <c r="J164">
        <f t="shared" si="8"/>
        <v>15000</v>
      </c>
      <c r="K164">
        <f t="shared" si="9"/>
        <v>7800</v>
      </c>
      <c r="L164">
        <f t="shared" si="10"/>
        <v>7200</v>
      </c>
      <c r="M164" s="9">
        <f t="shared" si="11"/>
        <v>0.48</v>
      </c>
    </row>
    <row r="165" spans="1:13" x14ac:dyDescent="0.25">
      <c r="A165" t="s">
        <v>197</v>
      </c>
      <c r="B165" s="1">
        <v>45775</v>
      </c>
      <c r="C165" t="s">
        <v>15</v>
      </c>
      <c r="D165" t="s">
        <v>16</v>
      </c>
      <c r="E165" t="s">
        <v>27</v>
      </c>
      <c r="F165" t="s">
        <v>23</v>
      </c>
      <c r="G165">
        <v>3</v>
      </c>
      <c r="H165">
        <v>4050</v>
      </c>
      <c r="I165">
        <v>2800</v>
      </c>
      <c r="J165">
        <f t="shared" si="8"/>
        <v>12150</v>
      </c>
      <c r="K165">
        <f t="shared" si="9"/>
        <v>8400</v>
      </c>
      <c r="L165">
        <f t="shared" si="10"/>
        <v>3750</v>
      </c>
      <c r="M165" s="9">
        <f t="shared" si="11"/>
        <v>0.30864197530864196</v>
      </c>
    </row>
    <row r="166" spans="1:13" x14ac:dyDescent="0.25">
      <c r="A166" t="s">
        <v>198</v>
      </c>
      <c r="B166" s="1">
        <v>45775</v>
      </c>
      <c r="C166" t="s">
        <v>20</v>
      </c>
      <c r="D166" t="s">
        <v>21</v>
      </c>
      <c r="E166" t="s">
        <v>35</v>
      </c>
      <c r="F166" t="s">
        <v>32</v>
      </c>
      <c r="G166">
        <v>4</v>
      </c>
      <c r="H166">
        <v>2500</v>
      </c>
      <c r="I166">
        <v>1300</v>
      </c>
      <c r="J166">
        <f t="shared" si="8"/>
        <v>10000</v>
      </c>
      <c r="K166">
        <f t="shared" si="9"/>
        <v>5200</v>
      </c>
      <c r="L166">
        <f t="shared" si="10"/>
        <v>4800</v>
      </c>
      <c r="M166" s="9">
        <f t="shared" si="11"/>
        <v>0.48</v>
      </c>
    </row>
    <row r="167" spans="1:13" x14ac:dyDescent="0.25">
      <c r="A167" t="s">
        <v>199</v>
      </c>
      <c r="B167" s="1">
        <v>45776</v>
      </c>
      <c r="C167" t="s">
        <v>15</v>
      </c>
      <c r="D167" t="s">
        <v>16</v>
      </c>
      <c r="E167" t="s">
        <v>78</v>
      </c>
      <c r="F167" t="s">
        <v>23</v>
      </c>
      <c r="G167">
        <v>7</v>
      </c>
      <c r="H167">
        <v>58500</v>
      </c>
      <c r="I167">
        <v>52000</v>
      </c>
      <c r="J167">
        <f t="shared" si="8"/>
        <v>409500</v>
      </c>
      <c r="K167">
        <f t="shared" si="9"/>
        <v>364000</v>
      </c>
      <c r="L167">
        <f t="shared" si="10"/>
        <v>45500</v>
      </c>
      <c r="M167" s="9">
        <f t="shared" si="11"/>
        <v>0.1111111111111111</v>
      </c>
    </row>
    <row r="168" spans="1:13" x14ac:dyDescent="0.25">
      <c r="A168" t="s">
        <v>200</v>
      </c>
      <c r="B168" s="1">
        <v>45778</v>
      </c>
      <c r="C168" t="s">
        <v>39</v>
      </c>
      <c r="D168" t="s">
        <v>16</v>
      </c>
      <c r="E168" t="s">
        <v>35</v>
      </c>
      <c r="F168" t="s">
        <v>32</v>
      </c>
      <c r="G168">
        <v>4</v>
      </c>
      <c r="H168">
        <v>2500</v>
      </c>
      <c r="I168">
        <v>1300</v>
      </c>
      <c r="J168">
        <f t="shared" si="8"/>
        <v>10000</v>
      </c>
      <c r="K168">
        <f t="shared" si="9"/>
        <v>5200</v>
      </c>
      <c r="L168">
        <f t="shared" si="10"/>
        <v>4800</v>
      </c>
      <c r="M168" s="9">
        <f t="shared" si="11"/>
        <v>0.48</v>
      </c>
    </row>
    <row r="169" spans="1:13" x14ac:dyDescent="0.25">
      <c r="A169" t="s">
        <v>201</v>
      </c>
      <c r="B169" s="1">
        <v>45778</v>
      </c>
      <c r="C169" t="s">
        <v>25</v>
      </c>
      <c r="D169" t="s">
        <v>29</v>
      </c>
      <c r="E169" t="s">
        <v>78</v>
      </c>
      <c r="F169" t="s">
        <v>23</v>
      </c>
      <c r="G169">
        <v>6</v>
      </c>
      <c r="H169">
        <v>65000</v>
      </c>
      <c r="I169">
        <v>52000</v>
      </c>
      <c r="J169">
        <f t="shared" si="8"/>
        <v>390000</v>
      </c>
      <c r="K169">
        <f t="shared" si="9"/>
        <v>312000</v>
      </c>
      <c r="L169">
        <f t="shared" si="10"/>
        <v>78000</v>
      </c>
      <c r="M169" s="9">
        <f t="shared" si="11"/>
        <v>0.2</v>
      </c>
    </row>
    <row r="170" spans="1:13" x14ac:dyDescent="0.25">
      <c r="A170" t="s">
        <v>202</v>
      </c>
      <c r="B170" s="1">
        <v>45779</v>
      </c>
      <c r="C170" t="s">
        <v>25</v>
      </c>
      <c r="D170" t="s">
        <v>26</v>
      </c>
      <c r="E170" t="s">
        <v>31</v>
      </c>
      <c r="F170" t="s">
        <v>32</v>
      </c>
      <c r="G170">
        <v>7</v>
      </c>
      <c r="H170">
        <v>1200</v>
      </c>
      <c r="I170">
        <v>550</v>
      </c>
      <c r="J170">
        <f t="shared" si="8"/>
        <v>8400</v>
      </c>
      <c r="K170">
        <f t="shared" si="9"/>
        <v>3850</v>
      </c>
      <c r="L170">
        <f t="shared" si="10"/>
        <v>4550</v>
      </c>
      <c r="M170" s="9">
        <f t="shared" si="11"/>
        <v>0.54166666666666663</v>
      </c>
    </row>
    <row r="171" spans="1:13" x14ac:dyDescent="0.25">
      <c r="A171" t="s">
        <v>203</v>
      </c>
      <c r="B171" s="1">
        <v>45779</v>
      </c>
      <c r="C171" t="s">
        <v>25</v>
      </c>
      <c r="D171" t="s">
        <v>11</v>
      </c>
      <c r="E171" t="s">
        <v>12</v>
      </c>
      <c r="F171" t="s">
        <v>13</v>
      </c>
      <c r="G171">
        <v>2</v>
      </c>
      <c r="H171">
        <v>19800</v>
      </c>
      <c r="I171">
        <v>15500</v>
      </c>
      <c r="J171">
        <f t="shared" si="8"/>
        <v>39600</v>
      </c>
      <c r="K171">
        <f t="shared" si="9"/>
        <v>31000</v>
      </c>
      <c r="L171">
        <f t="shared" si="10"/>
        <v>8600</v>
      </c>
      <c r="M171" s="9">
        <f t="shared" si="11"/>
        <v>0.21717171717171718</v>
      </c>
    </row>
    <row r="172" spans="1:13" x14ac:dyDescent="0.25">
      <c r="A172" t="s">
        <v>204</v>
      </c>
      <c r="B172" s="1">
        <v>45780</v>
      </c>
      <c r="C172" t="s">
        <v>15</v>
      </c>
      <c r="D172" t="s">
        <v>21</v>
      </c>
      <c r="E172" t="s">
        <v>27</v>
      </c>
      <c r="F172" t="s">
        <v>23</v>
      </c>
      <c r="G172">
        <v>7</v>
      </c>
      <c r="H172">
        <v>4500</v>
      </c>
      <c r="I172">
        <v>2800</v>
      </c>
      <c r="J172">
        <f t="shared" si="8"/>
        <v>31500</v>
      </c>
      <c r="K172">
        <f t="shared" si="9"/>
        <v>19600</v>
      </c>
      <c r="L172">
        <f t="shared" si="10"/>
        <v>11900</v>
      </c>
      <c r="M172" s="9">
        <f t="shared" si="11"/>
        <v>0.37777777777777777</v>
      </c>
    </row>
    <row r="173" spans="1:13" x14ac:dyDescent="0.25">
      <c r="A173" t="s">
        <v>205</v>
      </c>
      <c r="B173" s="1">
        <v>45780</v>
      </c>
      <c r="C173" t="s">
        <v>15</v>
      </c>
      <c r="D173" t="s">
        <v>37</v>
      </c>
      <c r="E173" t="s">
        <v>12</v>
      </c>
      <c r="F173" t="s">
        <v>13</v>
      </c>
      <c r="G173">
        <v>4</v>
      </c>
      <c r="H173">
        <v>22000</v>
      </c>
      <c r="I173">
        <v>15500</v>
      </c>
      <c r="J173">
        <f t="shared" si="8"/>
        <v>88000</v>
      </c>
      <c r="K173">
        <f t="shared" si="9"/>
        <v>62000</v>
      </c>
      <c r="L173">
        <f t="shared" si="10"/>
        <v>26000</v>
      </c>
      <c r="M173" s="9">
        <f t="shared" si="11"/>
        <v>0.29545454545454547</v>
      </c>
    </row>
    <row r="174" spans="1:13" x14ac:dyDescent="0.25">
      <c r="A174" t="s">
        <v>206</v>
      </c>
      <c r="B174" s="1">
        <v>45781</v>
      </c>
      <c r="C174" t="s">
        <v>15</v>
      </c>
      <c r="D174" t="s">
        <v>37</v>
      </c>
      <c r="E174" t="s">
        <v>50</v>
      </c>
      <c r="F174" t="s">
        <v>18</v>
      </c>
      <c r="G174">
        <v>6</v>
      </c>
      <c r="H174">
        <v>21600</v>
      </c>
      <c r="I174">
        <v>18500</v>
      </c>
      <c r="J174">
        <f t="shared" si="8"/>
        <v>129600</v>
      </c>
      <c r="K174">
        <f t="shared" si="9"/>
        <v>111000</v>
      </c>
      <c r="L174">
        <f t="shared" si="10"/>
        <v>18600</v>
      </c>
      <c r="M174" s="9">
        <f t="shared" si="11"/>
        <v>0.14351851851851852</v>
      </c>
    </row>
    <row r="175" spans="1:13" x14ac:dyDescent="0.25">
      <c r="A175" t="s">
        <v>207</v>
      </c>
      <c r="B175" s="1">
        <v>45783</v>
      </c>
      <c r="C175" t="s">
        <v>25</v>
      </c>
      <c r="D175" t="s">
        <v>37</v>
      </c>
      <c r="E175" t="s">
        <v>31</v>
      </c>
      <c r="F175" t="s">
        <v>32</v>
      </c>
      <c r="G175">
        <v>2</v>
      </c>
      <c r="H175">
        <v>1200</v>
      </c>
      <c r="I175">
        <v>550</v>
      </c>
      <c r="J175">
        <f t="shared" si="8"/>
        <v>2400</v>
      </c>
      <c r="K175">
        <f t="shared" si="9"/>
        <v>1100</v>
      </c>
      <c r="L175">
        <f t="shared" si="10"/>
        <v>1300</v>
      </c>
      <c r="M175" s="9">
        <f t="shared" si="11"/>
        <v>0.54166666666666663</v>
      </c>
    </row>
    <row r="176" spans="1:13" x14ac:dyDescent="0.25">
      <c r="A176" t="s">
        <v>208</v>
      </c>
      <c r="B176" s="1">
        <v>45784</v>
      </c>
      <c r="C176" t="s">
        <v>25</v>
      </c>
      <c r="D176" t="s">
        <v>16</v>
      </c>
      <c r="E176" t="s">
        <v>17</v>
      </c>
      <c r="F176" t="s">
        <v>18</v>
      </c>
      <c r="G176">
        <v>2</v>
      </c>
      <c r="H176">
        <v>450</v>
      </c>
      <c r="I176">
        <v>230</v>
      </c>
      <c r="J176">
        <f t="shared" si="8"/>
        <v>900</v>
      </c>
      <c r="K176">
        <f t="shared" si="9"/>
        <v>460</v>
      </c>
      <c r="L176">
        <f t="shared" si="10"/>
        <v>440</v>
      </c>
      <c r="M176" s="9">
        <f t="shared" si="11"/>
        <v>0.48888888888888887</v>
      </c>
    </row>
    <row r="177" spans="1:13" x14ac:dyDescent="0.25">
      <c r="A177" t="s">
        <v>209</v>
      </c>
      <c r="B177" s="1">
        <v>45784</v>
      </c>
      <c r="C177" t="s">
        <v>15</v>
      </c>
      <c r="D177" t="s">
        <v>37</v>
      </c>
      <c r="E177" t="s">
        <v>59</v>
      </c>
      <c r="F177" t="s">
        <v>32</v>
      </c>
      <c r="G177">
        <v>2</v>
      </c>
      <c r="H177">
        <v>900</v>
      </c>
      <c r="I177">
        <v>400</v>
      </c>
      <c r="J177">
        <f t="shared" si="8"/>
        <v>1800</v>
      </c>
      <c r="K177">
        <f t="shared" si="9"/>
        <v>800</v>
      </c>
      <c r="L177">
        <f t="shared" si="10"/>
        <v>1000</v>
      </c>
      <c r="M177" s="9">
        <f t="shared" si="11"/>
        <v>0.55555555555555558</v>
      </c>
    </row>
    <row r="178" spans="1:13" x14ac:dyDescent="0.25">
      <c r="A178" t="s">
        <v>210</v>
      </c>
      <c r="B178" s="1">
        <v>45787</v>
      </c>
      <c r="C178" t="s">
        <v>39</v>
      </c>
      <c r="D178" t="s">
        <v>21</v>
      </c>
      <c r="E178" t="s">
        <v>78</v>
      </c>
      <c r="F178" t="s">
        <v>23</v>
      </c>
      <c r="G178">
        <v>2</v>
      </c>
      <c r="H178">
        <v>65000</v>
      </c>
      <c r="I178">
        <v>52000</v>
      </c>
      <c r="J178">
        <f t="shared" si="8"/>
        <v>130000</v>
      </c>
      <c r="K178">
        <f t="shared" si="9"/>
        <v>104000</v>
      </c>
      <c r="L178">
        <f t="shared" si="10"/>
        <v>26000</v>
      </c>
      <c r="M178" s="9">
        <f t="shared" si="11"/>
        <v>0.2</v>
      </c>
    </row>
    <row r="179" spans="1:13" x14ac:dyDescent="0.25">
      <c r="A179" t="s">
        <v>211</v>
      </c>
      <c r="B179" s="1">
        <v>45790</v>
      </c>
      <c r="C179" t="s">
        <v>15</v>
      </c>
      <c r="D179" t="s">
        <v>37</v>
      </c>
      <c r="E179" t="s">
        <v>17</v>
      </c>
      <c r="F179" t="s">
        <v>18</v>
      </c>
      <c r="G179">
        <v>3</v>
      </c>
      <c r="H179">
        <v>450</v>
      </c>
      <c r="I179">
        <v>230</v>
      </c>
      <c r="J179">
        <f t="shared" si="8"/>
        <v>1350</v>
      </c>
      <c r="K179">
        <f t="shared" si="9"/>
        <v>690</v>
      </c>
      <c r="L179">
        <f t="shared" si="10"/>
        <v>660</v>
      </c>
      <c r="M179" s="9">
        <f t="shared" si="11"/>
        <v>0.48888888888888887</v>
      </c>
    </row>
    <row r="180" spans="1:13" x14ac:dyDescent="0.25">
      <c r="A180" t="s">
        <v>212</v>
      </c>
      <c r="B180" s="1">
        <v>45790</v>
      </c>
      <c r="C180" t="s">
        <v>10</v>
      </c>
      <c r="D180" t="s">
        <v>37</v>
      </c>
      <c r="E180" t="s">
        <v>59</v>
      </c>
      <c r="F180" t="s">
        <v>32</v>
      </c>
      <c r="G180">
        <v>7</v>
      </c>
      <c r="H180">
        <v>945</v>
      </c>
      <c r="I180">
        <v>400</v>
      </c>
      <c r="J180">
        <f t="shared" si="8"/>
        <v>6615</v>
      </c>
      <c r="K180">
        <f t="shared" si="9"/>
        <v>2800</v>
      </c>
      <c r="L180">
        <f t="shared" si="10"/>
        <v>3815</v>
      </c>
      <c r="M180" s="9">
        <f t="shared" si="11"/>
        <v>0.57671957671957674</v>
      </c>
    </row>
    <row r="181" spans="1:13" x14ac:dyDescent="0.25">
      <c r="A181" t="s">
        <v>213</v>
      </c>
      <c r="B181" s="1">
        <v>45790</v>
      </c>
      <c r="C181" t="s">
        <v>15</v>
      </c>
      <c r="D181" t="s">
        <v>37</v>
      </c>
      <c r="E181" t="s">
        <v>27</v>
      </c>
      <c r="F181" t="s">
        <v>23</v>
      </c>
      <c r="G181">
        <v>4</v>
      </c>
      <c r="H181">
        <v>4500</v>
      </c>
      <c r="I181">
        <v>2800</v>
      </c>
      <c r="J181">
        <f t="shared" si="8"/>
        <v>18000</v>
      </c>
      <c r="K181">
        <f t="shared" si="9"/>
        <v>11200</v>
      </c>
      <c r="L181">
        <f t="shared" si="10"/>
        <v>6800</v>
      </c>
      <c r="M181" s="9">
        <f t="shared" si="11"/>
        <v>0.37777777777777777</v>
      </c>
    </row>
    <row r="182" spans="1:13" x14ac:dyDescent="0.25">
      <c r="A182" t="s">
        <v>214</v>
      </c>
      <c r="B182" s="1">
        <v>45791</v>
      </c>
      <c r="C182" t="s">
        <v>15</v>
      </c>
      <c r="D182" t="s">
        <v>21</v>
      </c>
      <c r="E182" t="s">
        <v>50</v>
      </c>
      <c r="F182" t="s">
        <v>18</v>
      </c>
      <c r="G182">
        <v>2</v>
      </c>
      <c r="H182">
        <v>24000</v>
      </c>
      <c r="I182">
        <v>18500</v>
      </c>
      <c r="J182">
        <f t="shared" si="8"/>
        <v>48000</v>
      </c>
      <c r="K182">
        <f t="shared" si="9"/>
        <v>37000</v>
      </c>
      <c r="L182">
        <f t="shared" si="10"/>
        <v>11000</v>
      </c>
      <c r="M182" s="9">
        <f t="shared" si="11"/>
        <v>0.22916666666666666</v>
      </c>
    </row>
    <row r="183" spans="1:13" x14ac:dyDescent="0.25">
      <c r="A183" t="s">
        <v>215</v>
      </c>
      <c r="B183" s="1">
        <v>45791</v>
      </c>
      <c r="C183" t="s">
        <v>10</v>
      </c>
      <c r="D183" t="s">
        <v>37</v>
      </c>
      <c r="E183" t="s">
        <v>31</v>
      </c>
      <c r="F183" t="s">
        <v>32</v>
      </c>
      <c r="G183">
        <v>8</v>
      </c>
      <c r="H183">
        <v>1200</v>
      </c>
      <c r="I183">
        <v>550</v>
      </c>
      <c r="J183">
        <f t="shared" si="8"/>
        <v>9600</v>
      </c>
      <c r="K183">
        <f t="shared" si="9"/>
        <v>4400</v>
      </c>
      <c r="L183">
        <f t="shared" si="10"/>
        <v>5200</v>
      </c>
      <c r="M183" s="9">
        <f t="shared" si="11"/>
        <v>0.54166666666666663</v>
      </c>
    </row>
    <row r="184" spans="1:13" x14ac:dyDescent="0.25">
      <c r="A184" t="s">
        <v>216</v>
      </c>
      <c r="B184" s="1">
        <v>45792</v>
      </c>
      <c r="C184" t="s">
        <v>25</v>
      </c>
      <c r="D184" t="s">
        <v>37</v>
      </c>
      <c r="E184" t="s">
        <v>43</v>
      </c>
      <c r="F184" t="s">
        <v>13</v>
      </c>
      <c r="G184">
        <v>1</v>
      </c>
      <c r="H184">
        <v>13125</v>
      </c>
      <c r="I184">
        <v>8500</v>
      </c>
      <c r="J184">
        <f t="shared" si="8"/>
        <v>13125</v>
      </c>
      <c r="K184">
        <f t="shared" si="9"/>
        <v>8500</v>
      </c>
      <c r="L184">
        <f t="shared" si="10"/>
        <v>4625</v>
      </c>
      <c r="M184" s="9">
        <f t="shared" si="11"/>
        <v>0.35238095238095241</v>
      </c>
    </row>
    <row r="185" spans="1:13" x14ac:dyDescent="0.25">
      <c r="A185" t="s">
        <v>217</v>
      </c>
      <c r="B185" s="1">
        <v>45793</v>
      </c>
      <c r="C185" t="s">
        <v>39</v>
      </c>
      <c r="D185" t="s">
        <v>29</v>
      </c>
      <c r="E185" t="s">
        <v>22</v>
      </c>
      <c r="F185" t="s">
        <v>23</v>
      </c>
      <c r="G185">
        <v>6</v>
      </c>
      <c r="H185">
        <v>18900</v>
      </c>
      <c r="I185">
        <v>13500</v>
      </c>
      <c r="J185">
        <f t="shared" si="8"/>
        <v>113400</v>
      </c>
      <c r="K185">
        <f t="shared" si="9"/>
        <v>81000</v>
      </c>
      <c r="L185">
        <f t="shared" si="10"/>
        <v>32400</v>
      </c>
      <c r="M185" s="9">
        <f t="shared" si="11"/>
        <v>0.2857142857142857</v>
      </c>
    </row>
    <row r="186" spans="1:13" x14ac:dyDescent="0.25">
      <c r="A186" t="s">
        <v>218</v>
      </c>
      <c r="B186" s="1">
        <v>45793</v>
      </c>
      <c r="C186" t="s">
        <v>39</v>
      </c>
      <c r="D186" t="s">
        <v>37</v>
      </c>
      <c r="E186" t="s">
        <v>22</v>
      </c>
      <c r="F186" t="s">
        <v>23</v>
      </c>
      <c r="G186">
        <v>8</v>
      </c>
      <c r="H186">
        <v>18000</v>
      </c>
      <c r="I186">
        <v>13500</v>
      </c>
      <c r="J186">
        <f t="shared" si="8"/>
        <v>144000</v>
      </c>
      <c r="K186">
        <f t="shared" si="9"/>
        <v>108000</v>
      </c>
      <c r="L186">
        <f t="shared" si="10"/>
        <v>36000</v>
      </c>
      <c r="M186" s="9">
        <f t="shared" si="11"/>
        <v>0.25</v>
      </c>
    </row>
    <row r="187" spans="1:13" x14ac:dyDescent="0.25">
      <c r="A187" t="s">
        <v>219</v>
      </c>
      <c r="B187" s="1">
        <v>45793</v>
      </c>
      <c r="C187" t="s">
        <v>25</v>
      </c>
      <c r="D187" t="s">
        <v>11</v>
      </c>
      <c r="E187" t="s">
        <v>78</v>
      </c>
      <c r="F187" t="s">
        <v>23</v>
      </c>
      <c r="G187">
        <v>4</v>
      </c>
      <c r="H187">
        <v>68250</v>
      </c>
      <c r="I187">
        <v>52000</v>
      </c>
      <c r="J187">
        <f t="shared" si="8"/>
        <v>273000</v>
      </c>
      <c r="K187">
        <f t="shared" si="9"/>
        <v>208000</v>
      </c>
      <c r="L187">
        <f t="shared" si="10"/>
        <v>65000</v>
      </c>
      <c r="M187" s="9">
        <f t="shared" si="11"/>
        <v>0.23809523809523808</v>
      </c>
    </row>
    <row r="188" spans="1:13" x14ac:dyDescent="0.25">
      <c r="A188" t="s">
        <v>220</v>
      </c>
      <c r="B188" s="1">
        <v>45794</v>
      </c>
      <c r="C188" t="s">
        <v>15</v>
      </c>
      <c r="D188" t="s">
        <v>37</v>
      </c>
      <c r="E188" t="s">
        <v>31</v>
      </c>
      <c r="F188" t="s">
        <v>32</v>
      </c>
      <c r="G188">
        <v>7</v>
      </c>
      <c r="H188">
        <v>1200</v>
      </c>
      <c r="I188">
        <v>550</v>
      </c>
      <c r="J188">
        <f t="shared" si="8"/>
        <v>8400</v>
      </c>
      <c r="K188">
        <f t="shared" si="9"/>
        <v>3850</v>
      </c>
      <c r="L188">
        <f t="shared" si="10"/>
        <v>4550</v>
      </c>
      <c r="M188" s="9">
        <f t="shared" si="11"/>
        <v>0.54166666666666663</v>
      </c>
    </row>
    <row r="189" spans="1:13" x14ac:dyDescent="0.25">
      <c r="A189" t="s">
        <v>221</v>
      </c>
      <c r="B189" s="1">
        <v>45794</v>
      </c>
      <c r="C189" t="s">
        <v>20</v>
      </c>
      <c r="D189" t="s">
        <v>16</v>
      </c>
      <c r="E189" t="s">
        <v>78</v>
      </c>
      <c r="F189" t="s">
        <v>23</v>
      </c>
      <c r="G189">
        <v>3</v>
      </c>
      <c r="H189">
        <v>65000</v>
      </c>
      <c r="I189">
        <v>52000</v>
      </c>
      <c r="J189">
        <f t="shared" si="8"/>
        <v>195000</v>
      </c>
      <c r="K189">
        <f t="shared" si="9"/>
        <v>156000</v>
      </c>
      <c r="L189">
        <f t="shared" si="10"/>
        <v>39000</v>
      </c>
      <c r="M189" s="9">
        <f t="shared" si="11"/>
        <v>0.2</v>
      </c>
    </row>
    <row r="190" spans="1:13" x14ac:dyDescent="0.25">
      <c r="A190" t="s">
        <v>222</v>
      </c>
      <c r="B190" s="1">
        <v>45796</v>
      </c>
      <c r="C190" t="s">
        <v>15</v>
      </c>
      <c r="D190" t="s">
        <v>21</v>
      </c>
      <c r="E190" t="s">
        <v>35</v>
      </c>
      <c r="F190" t="s">
        <v>32</v>
      </c>
      <c r="G190">
        <v>2</v>
      </c>
      <c r="H190">
        <v>2500</v>
      </c>
      <c r="I190">
        <v>1300</v>
      </c>
      <c r="J190">
        <f t="shared" si="8"/>
        <v>5000</v>
      </c>
      <c r="K190">
        <f t="shared" si="9"/>
        <v>2600</v>
      </c>
      <c r="L190">
        <f t="shared" si="10"/>
        <v>2400</v>
      </c>
      <c r="M190" s="9">
        <f t="shared" si="11"/>
        <v>0.48</v>
      </c>
    </row>
    <row r="191" spans="1:13" x14ac:dyDescent="0.25">
      <c r="A191" t="s">
        <v>223</v>
      </c>
      <c r="B191" s="1">
        <v>45797</v>
      </c>
      <c r="C191" t="s">
        <v>25</v>
      </c>
      <c r="D191" t="s">
        <v>29</v>
      </c>
      <c r="E191" t="s">
        <v>27</v>
      </c>
      <c r="F191" t="s">
        <v>23</v>
      </c>
      <c r="G191">
        <v>3</v>
      </c>
      <c r="H191">
        <v>4050</v>
      </c>
      <c r="I191">
        <v>2800</v>
      </c>
      <c r="J191">
        <f t="shared" si="8"/>
        <v>12150</v>
      </c>
      <c r="K191">
        <f t="shared" si="9"/>
        <v>8400</v>
      </c>
      <c r="L191">
        <f t="shared" si="10"/>
        <v>3750</v>
      </c>
      <c r="M191" s="9">
        <f t="shared" si="11"/>
        <v>0.30864197530864196</v>
      </c>
    </row>
    <row r="192" spans="1:13" x14ac:dyDescent="0.25">
      <c r="A192" t="s">
        <v>224</v>
      </c>
      <c r="B192" s="1">
        <v>45799</v>
      </c>
      <c r="C192" t="s">
        <v>25</v>
      </c>
      <c r="D192" t="s">
        <v>26</v>
      </c>
      <c r="E192" t="s">
        <v>27</v>
      </c>
      <c r="F192" t="s">
        <v>23</v>
      </c>
      <c r="G192">
        <v>7</v>
      </c>
      <c r="H192">
        <v>4950</v>
      </c>
      <c r="I192">
        <v>2800</v>
      </c>
      <c r="J192">
        <f t="shared" si="8"/>
        <v>34650</v>
      </c>
      <c r="K192">
        <f t="shared" si="9"/>
        <v>19600</v>
      </c>
      <c r="L192">
        <f t="shared" si="10"/>
        <v>15050</v>
      </c>
      <c r="M192" s="9">
        <f t="shared" si="11"/>
        <v>0.43434343434343436</v>
      </c>
    </row>
    <row r="193" spans="1:13" x14ac:dyDescent="0.25">
      <c r="A193" t="s">
        <v>225</v>
      </c>
      <c r="B193" s="1">
        <v>45803</v>
      </c>
      <c r="C193" t="s">
        <v>20</v>
      </c>
      <c r="D193" t="s">
        <v>21</v>
      </c>
      <c r="E193" t="s">
        <v>31</v>
      </c>
      <c r="F193" t="s">
        <v>32</v>
      </c>
      <c r="G193">
        <v>3</v>
      </c>
      <c r="H193">
        <v>1200</v>
      </c>
      <c r="I193">
        <v>550</v>
      </c>
      <c r="J193">
        <f t="shared" si="8"/>
        <v>3600</v>
      </c>
      <c r="K193">
        <f t="shared" si="9"/>
        <v>1650</v>
      </c>
      <c r="L193">
        <f t="shared" si="10"/>
        <v>1950</v>
      </c>
      <c r="M193" s="9">
        <f t="shared" si="11"/>
        <v>0.54166666666666663</v>
      </c>
    </row>
    <row r="194" spans="1:13" x14ac:dyDescent="0.25">
      <c r="A194" t="s">
        <v>226</v>
      </c>
      <c r="B194" s="1">
        <v>45804</v>
      </c>
      <c r="C194" t="s">
        <v>39</v>
      </c>
      <c r="D194" t="s">
        <v>37</v>
      </c>
      <c r="E194" t="s">
        <v>31</v>
      </c>
      <c r="F194" t="s">
        <v>32</v>
      </c>
      <c r="G194">
        <v>6</v>
      </c>
      <c r="H194">
        <v>1200</v>
      </c>
      <c r="I194">
        <v>550</v>
      </c>
      <c r="J194">
        <f t="shared" ref="J194:J257" si="12">G194*H194</f>
        <v>7200</v>
      </c>
      <c r="K194">
        <f t="shared" ref="K194:K257" si="13">G194*I194</f>
        <v>3300</v>
      </c>
      <c r="L194">
        <f t="shared" ref="L194:L257" si="14">J194-K194</f>
        <v>3900</v>
      </c>
      <c r="M194" s="9">
        <f t="shared" si="11"/>
        <v>0.54166666666666663</v>
      </c>
    </row>
    <row r="195" spans="1:13" x14ac:dyDescent="0.25">
      <c r="A195" t="s">
        <v>227</v>
      </c>
      <c r="B195" s="1">
        <v>45806</v>
      </c>
      <c r="C195" t="s">
        <v>20</v>
      </c>
      <c r="D195" t="s">
        <v>26</v>
      </c>
      <c r="E195" t="s">
        <v>78</v>
      </c>
      <c r="F195" t="s">
        <v>23</v>
      </c>
      <c r="G195">
        <v>1</v>
      </c>
      <c r="H195">
        <v>71500</v>
      </c>
      <c r="I195">
        <v>52000</v>
      </c>
      <c r="J195">
        <f t="shared" si="12"/>
        <v>71500</v>
      </c>
      <c r="K195">
        <f t="shared" si="13"/>
        <v>52000</v>
      </c>
      <c r="L195">
        <f t="shared" si="14"/>
        <v>19500</v>
      </c>
      <c r="M195" s="9">
        <f t="shared" ref="M195:M258" si="15">(J195-K195)/J195</f>
        <v>0.27272727272727271</v>
      </c>
    </row>
    <row r="196" spans="1:13" x14ac:dyDescent="0.25">
      <c r="A196" t="s">
        <v>228</v>
      </c>
      <c r="B196" s="1">
        <v>45807</v>
      </c>
      <c r="C196" t="s">
        <v>15</v>
      </c>
      <c r="D196" t="s">
        <v>37</v>
      </c>
      <c r="E196" t="s">
        <v>22</v>
      </c>
      <c r="F196" t="s">
        <v>23</v>
      </c>
      <c r="G196">
        <v>4</v>
      </c>
      <c r="H196">
        <v>18000</v>
      </c>
      <c r="I196">
        <v>13500</v>
      </c>
      <c r="J196">
        <f t="shared" si="12"/>
        <v>72000</v>
      </c>
      <c r="K196">
        <f t="shared" si="13"/>
        <v>54000</v>
      </c>
      <c r="L196">
        <f t="shared" si="14"/>
        <v>18000</v>
      </c>
      <c r="M196" s="9">
        <f t="shared" si="15"/>
        <v>0.25</v>
      </c>
    </row>
    <row r="197" spans="1:13" x14ac:dyDescent="0.25">
      <c r="A197" t="s">
        <v>229</v>
      </c>
      <c r="B197" s="1">
        <v>45807</v>
      </c>
      <c r="C197" t="s">
        <v>15</v>
      </c>
      <c r="D197" t="s">
        <v>11</v>
      </c>
      <c r="E197" t="s">
        <v>43</v>
      </c>
      <c r="F197" t="s">
        <v>13</v>
      </c>
      <c r="G197">
        <v>4</v>
      </c>
      <c r="H197">
        <v>12500</v>
      </c>
      <c r="I197">
        <v>8500</v>
      </c>
      <c r="J197">
        <f t="shared" si="12"/>
        <v>50000</v>
      </c>
      <c r="K197">
        <f t="shared" si="13"/>
        <v>34000</v>
      </c>
      <c r="L197">
        <f t="shared" si="14"/>
        <v>16000</v>
      </c>
      <c r="M197" s="9">
        <f t="shared" si="15"/>
        <v>0.32</v>
      </c>
    </row>
    <row r="198" spans="1:13" x14ac:dyDescent="0.25">
      <c r="A198" t="s">
        <v>230</v>
      </c>
      <c r="B198" s="1">
        <v>45807</v>
      </c>
      <c r="C198" t="s">
        <v>15</v>
      </c>
      <c r="D198" t="s">
        <v>37</v>
      </c>
      <c r="E198" t="s">
        <v>35</v>
      </c>
      <c r="F198" t="s">
        <v>32</v>
      </c>
      <c r="G198">
        <v>3</v>
      </c>
      <c r="H198">
        <v>2625</v>
      </c>
      <c r="I198">
        <v>1300</v>
      </c>
      <c r="J198">
        <f t="shared" si="12"/>
        <v>7875</v>
      </c>
      <c r="K198">
        <f t="shared" si="13"/>
        <v>3900</v>
      </c>
      <c r="L198">
        <f t="shared" si="14"/>
        <v>3975</v>
      </c>
      <c r="M198" s="9">
        <f t="shared" si="15"/>
        <v>0.50476190476190474</v>
      </c>
    </row>
    <row r="199" spans="1:13" x14ac:dyDescent="0.25">
      <c r="A199" t="s">
        <v>231</v>
      </c>
      <c r="B199" s="1">
        <v>45807</v>
      </c>
      <c r="C199" t="s">
        <v>15</v>
      </c>
      <c r="D199" t="s">
        <v>16</v>
      </c>
      <c r="E199" t="s">
        <v>35</v>
      </c>
      <c r="F199" t="s">
        <v>32</v>
      </c>
      <c r="G199">
        <v>5</v>
      </c>
      <c r="H199">
        <v>2500</v>
      </c>
      <c r="I199">
        <v>1300</v>
      </c>
      <c r="J199">
        <f t="shared" si="12"/>
        <v>12500</v>
      </c>
      <c r="K199">
        <f t="shared" si="13"/>
        <v>6500</v>
      </c>
      <c r="L199">
        <f t="shared" si="14"/>
        <v>6000</v>
      </c>
      <c r="M199" s="9">
        <f t="shared" si="15"/>
        <v>0.48</v>
      </c>
    </row>
    <row r="200" spans="1:13" x14ac:dyDescent="0.25">
      <c r="A200" t="s">
        <v>232</v>
      </c>
      <c r="B200" s="1">
        <v>45808</v>
      </c>
      <c r="C200" t="s">
        <v>10</v>
      </c>
      <c r="D200" t="s">
        <v>37</v>
      </c>
      <c r="E200" t="s">
        <v>35</v>
      </c>
      <c r="F200" t="s">
        <v>32</v>
      </c>
      <c r="G200">
        <v>5</v>
      </c>
      <c r="H200">
        <v>2500</v>
      </c>
      <c r="I200">
        <v>1300</v>
      </c>
      <c r="J200">
        <f t="shared" si="12"/>
        <v>12500</v>
      </c>
      <c r="K200">
        <f t="shared" si="13"/>
        <v>6500</v>
      </c>
      <c r="L200">
        <f t="shared" si="14"/>
        <v>6000</v>
      </c>
      <c r="M200" s="9">
        <f t="shared" si="15"/>
        <v>0.48</v>
      </c>
    </row>
    <row r="201" spans="1:13" x14ac:dyDescent="0.25">
      <c r="A201" t="s">
        <v>233</v>
      </c>
      <c r="B201" s="1">
        <v>45809</v>
      </c>
      <c r="C201" t="s">
        <v>15</v>
      </c>
      <c r="D201" t="s">
        <v>21</v>
      </c>
      <c r="E201" t="s">
        <v>22</v>
      </c>
      <c r="F201" t="s">
        <v>23</v>
      </c>
      <c r="G201">
        <v>1</v>
      </c>
      <c r="H201">
        <v>18900</v>
      </c>
      <c r="I201">
        <v>13500</v>
      </c>
      <c r="J201">
        <f t="shared" si="12"/>
        <v>18900</v>
      </c>
      <c r="K201">
        <f t="shared" si="13"/>
        <v>13500</v>
      </c>
      <c r="L201">
        <f t="shared" si="14"/>
        <v>5400</v>
      </c>
      <c r="M201" s="9">
        <f t="shared" si="15"/>
        <v>0.2857142857142857</v>
      </c>
    </row>
    <row r="202" spans="1:13" x14ac:dyDescent="0.25">
      <c r="A202" t="s">
        <v>234</v>
      </c>
      <c r="B202" s="1">
        <v>45810</v>
      </c>
      <c r="C202" t="s">
        <v>15</v>
      </c>
      <c r="D202" t="s">
        <v>26</v>
      </c>
      <c r="E202" t="s">
        <v>31</v>
      </c>
      <c r="F202" t="s">
        <v>32</v>
      </c>
      <c r="G202">
        <v>8</v>
      </c>
      <c r="H202">
        <v>1200</v>
      </c>
      <c r="I202">
        <v>550</v>
      </c>
      <c r="J202">
        <f t="shared" si="12"/>
        <v>9600</v>
      </c>
      <c r="K202">
        <f t="shared" si="13"/>
        <v>4400</v>
      </c>
      <c r="L202">
        <f t="shared" si="14"/>
        <v>5200</v>
      </c>
      <c r="M202" s="9">
        <f t="shared" si="15"/>
        <v>0.54166666666666663</v>
      </c>
    </row>
    <row r="203" spans="1:13" x14ac:dyDescent="0.25">
      <c r="A203" t="s">
        <v>235</v>
      </c>
      <c r="B203" s="1">
        <v>45810</v>
      </c>
      <c r="C203" t="s">
        <v>15</v>
      </c>
      <c r="D203" t="s">
        <v>21</v>
      </c>
      <c r="E203" t="s">
        <v>43</v>
      </c>
      <c r="F203" t="s">
        <v>13</v>
      </c>
      <c r="G203">
        <v>8</v>
      </c>
      <c r="H203">
        <v>12500</v>
      </c>
      <c r="I203">
        <v>8500</v>
      </c>
      <c r="J203">
        <f t="shared" si="12"/>
        <v>100000</v>
      </c>
      <c r="K203">
        <f t="shared" si="13"/>
        <v>68000</v>
      </c>
      <c r="L203">
        <f t="shared" si="14"/>
        <v>32000</v>
      </c>
      <c r="M203" s="9">
        <f t="shared" si="15"/>
        <v>0.32</v>
      </c>
    </row>
    <row r="204" spans="1:13" x14ac:dyDescent="0.25">
      <c r="A204" t="s">
        <v>236</v>
      </c>
      <c r="B204" s="1">
        <v>45810</v>
      </c>
      <c r="C204" t="s">
        <v>20</v>
      </c>
      <c r="D204" t="s">
        <v>16</v>
      </c>
      <c r="E204" t="s">
        <v>59</v>
      </c>
      <c r="F204" t="s">
        <v>32</v>
      </c>
      <c r="G204">
        <v>8</v>
      </c>
      <c r="H204">
        <v>900</v>
      </c>
      <c r="I204">
        <v>400</v>
      </c>
      <c r="J204">
        <f t="shared" si="12"/>
        <v>7200</v>
      </c>
      <c r="K204">
        <f t="shared" si="13"/>
        <v>3200</v>
      </c>
      <c r="L204">
        <f t="shared" si="14"/>
        <v>4000</v>
      </c>
      <c r="M204" s="9">
        <f t="shared" si="15"/>
        <v>0.55555555555555558</v>
      </c>
    </row>
    <row r="205" spans="1:13" x14ac:dyDescent="0.25">
      <c r="A205" t="s">
        <v>237</v>
      </c>
      <c r="B205" s="1">
        <v>45810</v>
      </c>
      <c r="C205" t="s">
        <v>10</v>
      </c>
      <c r="D205" t="s">
        <v>16</v>
      </c>
      <c r="E205" t="s">
        <v>35</v>
      </c>
      <c r="F205" t="s">
        <v>32</v>
      </c>
      <c r="G205">
        <v>5</v>
      </c>
      <c r="H205">
        <v>2250</v>
      </c>
      <c r="I205">
        <v>1300</v>
      </c>
      <c r="J205">
        <f t="shared" si="12"/>
        <v>11250</v>
      </c>
      <c r="K205">
        <f t="shared" si="13"/>
        <v>6500</v>
      </c>
      <c r="L205">
        <f t="shared" si="14"/>
        <v>4750</v>
      </c>
      <c r="M205" s="9">
        <f t="shared" si="15"/>
        <v>0.42222222222222222</v>
      </c>
    </row>
    <row r="206" spans="1:13" x14ac:dyDescent="0.25">
      <c r="A206" t="s">
        <v>238</v>
      </c>
      <c r="B206" s="1">
        <v>45813</v>
      </c>
      <c r="C206" t="s">
        <v>25</v>
      </c>
      <c r="D206" t="s">
        <v>37</v>
      </c>
      <c r="E206" t="s">
        <v>35</v>
      </c>
      <c r="F206" t="s">
        <v>32</v>
      </c>
      <c r="G206">
        <v>3</v>
      </c>
      <c r="H206">
        <v>2500</v>
      </c>
      <c r="I206">
        <v>1300</v>
      </c>
      <c r="J206">
        <f t="shared" si="12"/>
        <v>7500</v>
      </c>
      <c r="K206">
        <f t="shared" si="13"/>
        <v>3900</v>
      </c>
      <c r="L206">
        <f t="shared" si="14"/>
        <v>3600</v>
      </c>
      <c r="M206" s="9">
        <f t="shared" si="15"/>
        <v>0.48</v>
      </c>
    </row>
    <row r="207" spans="1:13" x14ac:dyDescent="0.25">
      <c r="A207" t="s">
        <v>239</v>
      </c>
      <c r="B207" s="1">
        <v>45815</v>
      </c>
      <c r="C207" t="s">
        <v>25</v>
      </c>
      <c r="D207" t="s">
        <v>11</v>
      </c>
      <c r="E207" t="s">
        <v>35</v>
      </c>
      <c r="F207" t="s">
        <v>32</v>
      </c>
      <c r="G207">
        <v>3</v>
      </c>
      <c r="H207">
        <v>2500</v>
      </c>
      <c r="I207">
        <v>1300</v>
      </c>
      <c r="J207">
        <f t="shared" si="12"/>
        <v>7500</v>
      </c>
      <c r="K207">
        <f t="shared" si="13"/>
        <v>3900</v>
      </c>
      <c r="L207">
        <f t="shared" si="14"/>
        <v>3600</v>
      </c>
      <c r="M207" s="9">
        <f t="shared" si="15"/>
        <v>0.48</v>
      </c>
    </row>
    <row r="208" spans="1:13" x14ac:dyDescent="0.25">
      <c r="A208" t="s">
        <v>240</v>
      </c>
      <c r="B208" s="1">
        <v>45815</v>
      </c>
      <c r="C208" t="s">
        <v>25</v>
      </c>
      <c r="D208" t="s">
        <v>16</v>
      </c>
      <c r="E208" t="s">
        <v>17</v>
      </c>
      <c r="F208" t="s">
        <v>18</v>
      </c>
      <c r="G208">
        <v>6</v>
      </c>
      <c r="H208">
        <v>472.5</v>
      </c>
      <c r="I208">
        <v>230</v>
      </c>
      <c r="J208">
        <f t="shared" si="12"/>
        <v>2835</v>
      </c>
      <c r="K208">
        <f t="shared" si="13"/>
        <v>1380</v>
      </c>
      <c r="L208">
        <f t="shared" si="14"/>
        <v>1455</v>
      </c>
      <c r="M208" s="9">
        <f t="shared" si="15"/>
        <v>0.51322751322751325</v>
      </c>
    </row>
    <row r="209" spans="1:13" x14ac:dyDescent="0.25">
      <c r="A209" t="s">
        <v>241</v>
      </c>
      <c r="B209" s="1">
        <v>45816</v>
      </c>
      <c r="C209" t="s">
        <v>15</v>
      </c>
      <c r="D209" t="s">
        <v>11</v>
      </c>
      <c r="E209" t="s">
        <v>59</v>
      </c>
      <c r="F209" t="s">
        <v>32</v>
      </c>
      <c r="G209">
        <v>5</v>
      </c>
      <c r="H209">
        <v>900</v>
      </c>
      <c r="I209">
        <v>400</v>
      </c>
      <c r="J209">
        <f t="shared" si="12"/>
        <v>4500</v>
      </c>
      <c r="K209">
        <f t="shared" si="13"/>
        <v>2000</v>
      </c>
      <c r="L209">
        <f t="shared" si="14"/>
        <v>2500</v>
      </c>
      <c r="M209" s="9">
        <f t="shared" si="15"/>
        <v>0.55555555555555558</v>
      </c>
    </row>
    <row r="210" spans="1:13" x14ac:dyDescent="0.25">
      <c r="A210" t="s">
        <v>242</v>
      </c>
      <c r="B210" s="1">
        <v>45816</v>
      </c>
      <c r="C210" t="s">
        <v>15</v>
      </c>
      <c r="D210" t="s">
        <v>11</v>
      </c>
      <c r="E210" t="s">
        <v>35</v>
      </c>
      <c r="F210" t="s">
        <v>32</v>
      </c>
      <c r="G210">
        <v>1</v>
      </c>
      <c r="H210">
        <v>2750</v>
      </c>
      <c r="I210">
        <v>1300</v>
      </c>
      <c r="J210">
        <f t="shared" si="12"/>
        <v>2750</v>
      </c>
      <c r="K210">
        <f t="shared" si="13"/>
        <v>1300</v>
      </c>
      <c r="L210">
        <f t="shared" si="14"/>
        <v>1450</v>
      </c>
      <c r="M210" s="9">
        <f t="shared" si="15"/>
        <v>0.52727272727272723</v>
      </c>
    </row>
    <row r="211" spans="1:13" x14ac:dyDescent="0.25">
      <c r="A211" t="s">
        <v>243</v>
      </c>
      <c r="B211" s="1">
        <v>45816</v>
      </c>
      <c r="C211" t="s">
        <v>15</v>
      </c>
      <c r="D211" t="s">
        <v>21</v>
      </c>
      <c r="E211" t="s">
        <v>35</v>
      </c>
      <c r="F211" t="s">
        <v>32</v>
      </c>
      <c r="G211">
        <v>5</v>
      </c>
      <c r="H211">
        <v>2500</v>
      </c>
      <c r="I211">
        <v>1300</v>
      </c>
      <c r="J211">
        <f t="shared" si="12"/>
        <v>12500</v>
      </c>
      <c r="K211">
        <f t="shared" si="13"/>
        <v>6500</v>
      </c>
      <c r="L211">
        <f t="shared" si="14"/>
        <v>6000</v>
      </c>
      <c r="M211" s="9">
        <f t="shared" si="15"/>
        <v>0.48</v>
      </c>
    </row>
    <row r="212" spans="1:13" x14ac:dyDescent="0.25">
      <c r="A212" t="s">
        <v>244</v>
      </c>
      <c r="B212" s="1">
        <v>45816</v>
      </c>
      <c r="C212" t="s">
        <v>10</v>
      </c>
      <c r="D212" t="s">
        <v>37</v>
      </c>
      <c r="E212" t="s">
        <v>43</v>
      </c>
      <c r="F212" t="s">
        <v>13</v>
      </c>
      <c r="G212">
        <v>8</v>
      </c>
      <c r="H212">
        <v>13750</v>
      </c>
      <c r="I212">
        <v>8500</v>
      </c>
      <c r="J212">
        <f t="shared" si="12"/>
        <v>110000</v>
      </c>
      <c r="K212">
        <f t="shared" si="13"/>
        <v>68000</v>
      </c>
      <c r="L212">
        <f t="shared" si="14"/>
        <v>42000</v>
      </c>
      <c r="M212" s="9">
        <f t="shared" si="15"/>
        <v>0.38181818181818183</v>
      </c>
    </row>
    <row r="213" spans="1:13" x14ac:dyDescent="0.25">
      <c r="A213" t="s">
        <v>245</v>
      </c>
      <c r="B213" s="1">
        <v>45816</v>
      </c>
      <c r="C213" t="s">
        <v>39</v>
      </c>
      <c r="D213" t="s">
        <v>29</v>
      </c>
      <c r="E213" t="s">
        <v>17</v>
      </c>
      <c r="F213" t="s">
        <v>18</v>
      </c>
      <c r="G213">
        <v>2</v>
      </c>
      <c r="H213">
        <v>472.5</v>
      </c>
      <c r="I213">
        <v>230</v>
      </c>
      <c r="J213">
        <f t="shared" si="12"/>
        <v>945</v>
      </c>
      <c r="K213">
        <f t="shared" si="13"/>
        <v>460</v>
      </c>
      <c r="L213">
        <f t="shared" si="14"/>
        <v>485</v>
      </c>
      <c r="M213" s="9">
        <f t="shared" si="15"/>
        <v>0.51322751322751325</v>
      </c>
    </row>
    <row r="214" spans="1:13" x14ac:dyDescent="0.25">
      <c r="A214" t="s">
        <v>246</v>
      </c>
      <c r="B214" s="1">
        <v>45816</v>
      </c>
      <c r="C214" t="s">
        <v>15</v>
      </c>
      <c r="D214" t="s">
        <v>11</v>
      </c>
      <c r="E214" t="s">
        <v>59</v>
      </c>
      <c r="F214" t="s">
        <v>32</v>
      </c>
      <c r="G214">
        <v>7</v>
      </c>
      <c r="H214">
        <v>900</v>
      </c>
      <c r="I214">
        <v>400</v>
      </c>
      <c r="J214">
        <f t="shared" si="12"/>
        <v>6300</v>
      </c>
      <c r="K214">
        <f t="shared" si="13"/>
        <v>2800</v>
      </c>
      <c r="L214">
        <f t="shared" si="14"/>
        <v>3500</v>
      </c>
      <c r="M214" s="9">
        <f t="shared" si="15"/>
        <v>0.55555555555555558</v>
      </c>
    </row>
    <row r="215" spans="1:13" x14ac:dyDescent="0.25">
      <c r="A215" t="s">
        <v>247</v>
      </c>
      <c r="B215" s="1">
        <v>45817</v>
      </c>
      <c r="C215" t="s">
        <v>20</v>
      </c>
      <c r="D215" t="s">
        <v>37</v>
      </c>
      <c r="E215" t="s">
        <v>59</v>
      </c>
      <c r="F215" t="s">
        <v>32</v>
      </c>
      <c r="G215">
        <v>3</v>
      </c>
      <c r="H215">
        <v>945</v>
      </c>
      <c r="I215">
        <v>400</v>
      </c>
      <c r="J215">
        <f t="shared" si="12"/>
        <v>2835</v>
      </c>
      <c r="K215">
        <f t="shared" si="13"/>
        <v>1200</v>
      </c>
      <c r="L215">
        <f t="shared" si="14"/>
        <v>1635</v>
      </c>
      <c r="M215" s="9">
        <f t="shared" si="15"/>
        <v>0.57671957671957674</v>
      </c>
    </row>
    <row r="216" spans="1:13" x14ac:dyDescent="0.25">
      <c r="A216" t="s">
        <v>248</v>
      </c>
      <c r="B216" s="1">
        <v>45817</v>
      </c>
      <c r="C216" t="s">
        <v>10</v>
      </c>
      <c r="D216" t="s">
        <v>29</v>
      </c>
      <c r="E216" t="s">
        <v>17</v>
      </c>
      <c r="F216" t="s">
        <v>18</v>
      </c>
      <c r="G216">
        <v>1</v>
      </c>
      <c r="H216">
        <v>450</v>
      </c>
      <c r="I216">
        <v>230</v>
      </c>
      <c r="J216">
        <f t="shared" si="12"/>
        <v>450</v>
      </c>
      <c r="K216">
        <f t="shared" si="13"/>
        <v>230</v>
      </c>
      <c r="L216">
        <f t="shared" si="14"/>
        <v>220</v>
      </c>
      <c r="M216" s="9">
        <f t="shared" si="15"/>
        <v>0.48888888888888887</v>
      </c>
    </row>
    <row r="217" spans="1:13" x14ac:dyDescent="0.25">
      <c r="A217" t="s">
        <v>249</v>
      </c>
      <c r="B217" s="1">
        <v>45818</v>
      </c>
      <c r="C217" t="s">
        <v>15</v>
      </c>
      <c r="D217" t="s">
        <v>21</v>
      </c>
      <c r="E217" t="s">
        <v>35</v>
      </c>
      <c r="F217" t="s">
        <v>32</v>
      </c>
      <c r="G217">
        <v>8</v>
      </c>
      <c r="H217">
        <v>2625</v>
      </c>
      <c r="I217">
        <v>1300</v>
      </c>
      <c r="J217">
        <f t="shared" si="12"/>
        <v>21000</v>
      </c>
      <c r="K217">
        <f t="shared" si="13"/>
        <v>10400</v>
      </c>
      <c r="L217">
        <f t="shared" si="14"/>
        <v>10600</v>
      </c>
      <c r="M217" s="9">
        <f t="shared" si="15"/>
        <v>0.50476190476190474</v>
      </c>
    </row>
    <row r="218" spans="1:13" x14ac:dyDescent="0.25">
      <c r="A218" t="s">
        <v>250</v>
      </c>
      <c r="B218" s="1">
        <v>45818</v>
      </c>
      <c r="C218" t="s">
        <v>25</v>
      </c>
      <c r="D218" t="s">
        <v>21</v>
      </c>
      <c r="E218" t="s">
        <v>35</v>
      </c>
      <c r="F218" t="s">
        <v>32</v>
      </c>
      <c r="G218">
        <v>1</v>
      </c>
      <c r="H218">
        <v>2500</v>
      </c>
      <c r="I218">
        <v>1300</v>
      </c>
      <c r="J218">
        <f t="shared" si="12"/>
        <v>2500</v>
      </c>
      <c r="K218">
        <f t="shared" si="13"/>
        <v>1300</v>
      </c>
      <c r="L218">
        <f t="shared" si="14"/>
        <v>1200</v>
      </c>
      <c r="M218" s="9">
        <f t="shared" si="15"/>
        <v>0.48</v>
      </c>
    </row>
    <row r="219" spans="1:13" x14ac:dyDescent="0.25">
      <c r="A219" t="s">
        <v>251</v>
      </c>
      <c r="B219" s="1">
        <v>45818</v>
      </c>
      <c r="C219" t="s">
        <v>15</v>
      </c>
      <c r="D219" t="s">
        <v>16</v>
      </c>
      <c r="E219" t="s">
        <v>27</v>
      </c>
      <c r="F219" t="s">
        <v>23</v>
      </c>
      <c r="G219">
        <v>7</v>
      </c>
      <c r="H219">
        <v>4500</v>
      </c>
      <c r="I219">
        <v>2800</v>
      </c>
      <c r="J219">
        <f t="shared" si="12"/>
        <v>31500</v>
      </c>
      <c r="K219">
        <f t="shared" si="13"/>
        <v>19600</v>
      </c>
      <c r="L219">
        <f t="shared" si="14"/>
        <v>11900</v>
      </c>
      <c r="M219" s="9">
        <f t="shared" si="15"/>
        <v>0.37777777777777777</v>
      </c>
    </row>
    <row r="220" spans="1:13" x14ac:dyDescent="0.25">
      <c r="A220" t="s">
        <v>252</v>
      </c>
      <c r="B220" s="1">
        <v>45819</v>
      </c>
      <c r="C220" t="s">
        <v>10</v>
      </c>
      <c r="D220" t="s">
        <v>11</v>
      </c>
      <c r="E220" t="s">
        <v>17</v>
      </c>
      <c r="F220" t="s">
        <v>18</v>
      </c>
      <c r="G220">
        <v>2</v>
      </c>
      <c r="H220">
        <v>450</v>
      </c>
      <c r="I220">
        <v>230</v>
      </c>
      <c r="J220">
        <f t="shared" si="12"/>
        <v>900</v>
      </c>
      <c r="K220">
        <f t="shared" si="13"/>
        <v>460</v>
      </c>
      <c r="L220">
        <f t="shared" si="14"/>
        <v>440</v>
      </c>
      <c r="M220" s="9">
        <f t="shared" si="15"/>
        <v>0.48888888888888887</v>
      </c>
    </row>
    <row r="221" spans="1:13" x14ac:dyDescent="0.25">
      <c r="A221" t="s">
        <v>253</v>
      </c>
      <c r="B221" s="1">
        <v>45819</v>
      </c>
      <c r="C221" t="s">
        <v>15</v>
      </c>
      <c r="D221" t="s">
        <v>29</v>
      </c>
      <c r="E221" t="s">
        <v>17</v>
      </c>
      <c r="F221" t="s">
        <v>18</v>
      </c>
      <c r="G221">
        <v>5</v>
      </c>
      <c r="H221">
        <v>472.5</v>
      </c>
      <c r="I221">
        <v>230</v>
      </c>
      <c r="J221">
        <f t="shared" si="12"/>
        <v>2362.5</v>
      </c>
      <c r="K221">
        <f t="shared" si="13"/>
        <v>1150</v>
      </c>
      <c r="L221">
        <f t="shared" si="14"/>
        <v>1212.5</v>
      </c>
      <c r="M221" s="9">
        <f t="shared" si="15"/>
        <v>0.51322751322751325</v>
      </c>
    </row>
    <row r="222" spans="1:13" x14ac:dyDescent="0.25">
      <c r="A222" t="s">
        <v>254</v>
      </c>
      <c r="B222" s="1">
        <v>45820</v>
      </c>
      <c r="C222" t="s">
        <v>25</v>
      </c>
      <c r="D222" t="s">
        <v>29</v>
      </c>
      <c r="E222" t="s">
        <v>78</v>
      </c>
      <c r="F222" t="s">
        <v>23</v>
      </c>
      <c r="G222">
        <v>4</v>
      </c>
      <c r="H222">
        <v>65000</v>
      </c>
      <c r="I222">
        <v>52000</v>
      </c>
      <c r="J222">
        <f t="shared" si="12"/>
        <v>260000</v>
      </c>
      <c r="K222">
        <f t="shared" si="13"/>
        <v>208000</v>
      </c>
      <c r="L222">
        <f t="shared" si="14"/>
        <v>52000</v>
      </c>
      <c r="M222" s="9">
        <f t="shared" si="15"/>
        <v>0.2</v>
      </c>
    </row>
    <row r="223" spans="1:13" x14ac:dyDescent="0.25">
      <c r="A223" t="s">
        <v>255</v>
      </c>
      <c r="B223" s="1">
        <v>45820</v>
      </c>
      <c r="C223" t="s">
        <v>15</v>
      </c>
      <c r="D223" t="s">
        <v>11</v>
      </c>
      <c r="E223" t="s">
        <v>12</v>
      </c>
      <c r="F223" t="s">
        <v>13</v>
      </c>
      <c r="G223">
        <v>1</v>
      </c>
      <c r="H223">
        <v>23100</v>
      </c>
      <c r="I223">
        <v>15500</v>
      </c>
      <c r="J223">
        <f t="shared" si="12"/>
        <v>23100</v>
      </c>
      <c r="K223">
        <f t="shared" si="13"/>
        <v>15500</v>
      </c>
      <c r="L223">
        <f t="shared" si="14"/>
        <v>7600</v>
      </c>
      <c r="M223" s="9">
        <f t="shared" si="15"/>
        <v>0.32900432900432902</v>
      </c>
    </row>
    <row r="224" spans="1:13" x14ac:dyDescent="0.25">
      <c r="A224" t="s">
        <v>256</v>
      </c>
      <c r="B224" s="1">
        <v>45821</v>
      </c>
      <c r="C224" t="s">
        <v>25</v>
      </c>
      <c r="D224" t="s">
        <v>29</v>
      </c>
      <c r="E224" t="s">
        <v>59</v>
      </c>
      <c r="F224" t="s">
        <v>32</v>
      </c>
      <c r="G224">
        <v>5</v>
      </c>
      <c r="H224">
        <v>900</v>
      </c>
      <c r="I224">
        <v>400</v>
      </c>
      <c r="J224">
        <f t="shared" si="12"/>
        <v>4500</v>
      </c>
      <c r="K224">
        <f t="shared" si="13"/>
        <v>2000</v>
      </c>
      <c r="L224">
        <f t="shared" si="14"/>
        <v>2500</v>
      </c>
      <c r="M224" s="9">
        <f t="shared" si="15"/>
        <v>0.55555555555555558</v>
      </c>
    </row>
    <row r="225" spans="1:13" x14ac:dyDescent="0.25">
      <c r="A225" t="s">
        <v>257</v>
      </c>
      <c r="B225" s="1">
        <v>45821</v>
      </c>
      <c r="C225" t="s">
        <v>15</v>
      </c>
      <c r="D225" t="s">
        <v>11</v>
      </c>
      <c r="E225" t="s">
        <v>78</v>
      </c>
      <c r="F225" t="s">
        <v>23</v>
      </c>
      <c r="G225">
        <v>8</v>
      </c>
      <c r="H225">
        <v>65000</v>
      </c>
      <c r="I225">
        <v>52000</v>
      </c>
      <c r="J225">
        <f t="shared" si="12"/>
        <v>520000</v>
      </c>
      <c r="K225">
        <f t="shared" si="13"/>
        <v>416000</v>
      </c>
      <c r="L225">
        <f t="shared" si="14"/>
        <v>104000</v>
      </c>
      <c r="M225" s="9">
        <f t="shared" si="15"/>
        <v>0.2</v>
      </c>
    </row>
    <row r="226" spans="1:13" x14ac:dyDescent="0.25">
      <c r="A226" t="s">
        <v>258</v>
      </c>
      <c r="B226" s="1">
        <v>45822</v>
      </c>
      <c r="C226" t="s">
        <v>39</v>
      </c>
      <c r="D226" t="s">
        <v>16</v>
      </c>
      <c r="E226" t="s">
        <v>59</v>
      </c>
      <c r="F226" t="s">
        <v>32</v>
      </c>
      <c r="G226">
        <v>2</v>
      </c>
      <c r="H226">
        <v>900</v>
      </c>
      <c r="I226">
        <v>400</v>
      </c>
      <c r="J226">
        <f t="shared" si="12"/>
        <v>1800</v>
      </c>
      <c r="K226">
        <f t="shared" si="13"/>
        <v>800</v>
      </c>
      <c r="L226">
        <f t="shared" si="14"/>
        <v>1000</v>
      </c>
      <c r="M226" s="9">
        <f t="shared" si="15"/>
        <v>0.55555555555555558</v>
      </c>
    </row>
    <row r="227" spans="1:13" x14ac:dyDescent="0.25">
      <c r="A227" t="s">
        <v>259</v>
      </c>
      <c r="B227" s="1">
        <v>45822</v>
      </c>
      <c r="C227" t="s">
        <v>15</v>
      </c>
      <c r="D227" t="s">
        <v>29</v>
      </c>
      <c r="E227" t="s">
        <v>17</v>
      </c>
      <c r="F227" t="s">
        <v>18</v>
      </c>
      <c r="G227">
        <v>6</v>
      </c>
      <c r="H227">
        <v>450</v>
      </c>
      <c r="I227">
        <v>230</v>
      </c>
      <c r="J227">
        <f t="shared" si="12"/>
        <v>2700</v>
      </c>
      <c r="K227">
        <f t="shared" si="13"/>
        <v>1380</v>
      </c>
      <c r="L227">
        <f t="shared" si="14"/>
        <v>1320</v>
      </c>
      <c r="M227" s="9">
        <f t="shared" si="15"/>
        <v>0.48888888888888887</v>
      </c>
    </row>
    <row r="228" spans="1:13" x14ac:dyDescent="0.25">
      <c r="A228" t="s">
        <v>260</v>
      </c>
      <c r="B228" s="1">
        <v>45822</v>
      </c>
      <c r="C228" t="s">
        <v>15</v>
      </c>
      <c r="D228" t="s">
        <v>37</v>
      </c>
      <c r="E228" t="s">
        <v>59</v>
      </c>
      <c r="F228" t="s">
        <v>32</v>
      </c>
      <c r="G228">
        <v>5</v>
      </c>
      <c r="H228">
        <v>900</v>
      </c>
      <c r="I228">
        <v>400</v>
      </c>
      <c r="J228">
        <f t="shared" si="12"/>
        <v>4500</v>
      </c>
      <c r="K228">
        <f t="shared" si="13"/>
        <v>2000</v>
      </c>
      <c r="L228">
        <f t="shared" si="14"/>
        <v>2500</v>
      </c>
      <c r="M228" s="9">
        <f t="shared" si="15"/>
        <v>0.55555555555555558</v>
      </c>
    </row>
    <row r="229" spans="1:13" x14ac:dyDescent="0.25">
      <c r="A229" t="s">
        <v>261</v>
      </c>
      <c r="B229" s="1">
        <v>45824</v>
      </c>
      <c r="C229" t="s">
        <v>25</v>
      </c>
      <c r="D229" t="s">
        <v>11</v>
      </c>
      <c r="E229" t="s">
        <v>31</v>
      </c>
      <c r="F229" t="s">
        <v>32</v>
      </c>
      <c r="G229">
        <v>4</v>
      </c>
      <c r="H229">
        <v>1080</v>
      </c>
      <c r="I229">
        <v>550</v>
      </c>
      <c r="J229">
        <f t="shared" si="12"/>
        <v>4320</v>
      </c>
      <c r="K229">
        <f t="shared" si="13"/>
        <v>2200</v>
      </c>
      <c r="L229">
        <f t="shared" si="14"/>
        <v>2120</v>
      </c>
      <c r="M229" s="9">
        <f t="shared" si="15"/>
        <v>0.49074074074074076</v>
      </c>
    </row>
    <row r="230" spans="1:13" x14ac:dyDescent="0.25">
      <c r="A230" t="s">
        <v>262</v>
      </c>
      <c r="B230" s="1">
        <v>45824</v>
      </c>
      <c r="C230" t="s">
        <v>25</v>
      </c>
      <c r="D230" t="s">
        <v>29</v>
      </c>
      <c r="E230" t="s">
        <v>27</v>
      </c>
      <c r="F230" t="s">
        <v>23</v>
      </c>
      <c r="G230">
        <v>3</v>
      </c>
      <c r="H230">
        <v>4500</v>
      </c>
      <c r="I230">
        <v>2800</v>
      </c>
      <c r="J230">
        <f t="shared" si="12"/>
        <v>13500</v>
      </c>
      <c r="K230">
        <f t="shared" si="13"/>
        <v>8400</v>
      </c>
      <c r="L230">
        <f t="shared" si="14"/>
        <v>5100</v>
      </c>
      <c r="M230" s="9">
        <f t="shared" si="15"/>
        <v>0.37777777777777777</v>
      </c>
    </row>
    <row r="231" spans="1:13" x14ac:dyDescent="0.25">
      <c r="A231" t="s">
        <v>263</v>
      </c>
      <c r="B231" s="1">
        <v>45825</v>
      </c>
      <c r="C231" t="s">
        <v>25</v>
      </c>
      <c r="D231" t="s">
        <v>16</v>
      </c>
      <c r="E231" t="s">
        <v>22</v>
      </c>
      <c r="F231" t="s">
        <v>23</v>
      </c>
      <c r="G231">
        <v>3</v>
      </c>
      <c r="H231">
        <v>18000</v>
      </c>
      <c r="I231">
        <v>13500</v>
      </c>
      <c r="J231">
        <f t="shared" si="12"/>
        <v>54000</v>
      </c>
      <c r="K231">
        <f t="shared" si="13"/>
        <v>40500</v>
      </c>
      <c r="L231">
        <f t="shared" si="14"/>
        <v>13500</v>
      </c>
      <c r="M231" s="9">
        <f t="shared" si="15"/>
        <v>0.25</v>
      </c>
    </row>
    <row r="232" spans="1:13" x14ac:dyDescent="0.25">
      <c r="A232" t="s">
        <v>264</v>
      </c>
      <c r="B232" s="1">
        <v>45825</v>
      </c>
      <c r="C232" t="s">
        <v>15</v>
      </c>
      <c r="D232" t="s">
        <v>37</v>
      </c>
      <c r="E232" t="s">
        <v>31</v>
      </c>
      <c r="F232" t="s">
        <v>32</v>
      </c>
      <c r="G232">
        <v>8</v>
      </c>
      <c r="H232">
        <v>1200</v>
      </c>
      <c r="I232">
        <v>550</v>
      </c>
      <c r="J232">
        <f t="shared" si="12"/>
        <v>9600</v>
      </c>
      <c r="K232">
        <f t="shared" si="13"/>
        <v>4400</v>
      </c>
      <c r="L232">
        <f t="shared" si="14"/>
        <v>5200</v>
      </c>
      <c r="M232" s="9">
        <f t="shared" si="15"/>
        <v>0.54166666666666663</v>
      </c>
    </row>
    <row r="233" spans="1:13" x14ac:dyDescent="0.25">
      <c r="A233" t="s">
        <v>265</v>
      </c>
      <c r="B233" s="1">
        <v>45826</v>
      </c>
      <c r="C233" t="s">
        <v>25</v>
      </c>
      <c r="D233" t="s">
        <v>16</v>
      </c>
      <c r="E233" t="s">
        <v>22</v>
      </c>
      <c r="F233" t="s">
        <v>23</v>
      </c>
      <c r="G233">
        <v>4</v>
      </c>
      <c r="H233">
        <v>19800</v>
      </c>
      <c r="I233">
        <v>13500</v>
      </c>
      <c r="J233">
        <f t="shared" si="12"/>
        <v>79200</v>
      </c>
      <c r="K233">
        <f t="shared" si="13"/>
        <v>54000</v>
      </c>
      <c r="L233">
        <f t="shared" si="14"/>
        <v>25200</v>
      </c>
      <c r="M233" s="9">
        <f t="shared" si="15"/>
        <v>0.31818181818181818</v>
      </c>
    </row>
    <row r="234" spans="1:13" x14ac:dyDescent="0.25">
      <c r="A234" t="s">
        <v>266</v>
      </c>
      <c r="B234" s="1">
        <v>45826</v>
      </c>
      <c r="C234" t="s">
        <v>15</v>
      </c>
      <c r="D234" t="s">
        <v>29</v>
      </c>
      <c r="E234" t="s">
        <v>43</v>
      </c>
      <c r="F234" t="s">
        <v>13</v>
      </c>
      <c r="G234">
        <v>6</v>
      </c>
      <c r="H234">
        <v>12500</v>
      </c>
      <c r="I234">
        <v>8500</v>
      </c>
      <c r="J234">
        <f t="shared" si="12"/>
        <v>75000</v>
      </c>
      <c r="K234">
        <f t="shared" si="13"/>
        <v>51000</v>
      </c>
      <c r="L234">
        <f t="shared" si="14"/>
        <v>24000</v>
      </c>
      <c r="M234" s="9">
        <f t="shared" si="15"/>
        <v>0.32</v>
      </c>
    </row>
    <row r="235" spans="1:13" x14ac:dyDescent="0.25">
      <c r="A235" t="s">
        <v>267</v>
      </c>
      <c r="B235" s="1">
        <v>45826</v>
      </c>
      <c r="C235" t="s">
        <v>10</v>
      </c>
      <c r="D235" t="s">
        <v>37</v>
      </c>
      <c r="E235" t="s">
        <v>59</v>
      </c>
      <c r="F235" t="s">
        <v>32</v>
      </c>
      <c r="G235">
        <v>3</v>
      </c>
      <c r="H235">
        <v>900</v>
      </c>
      <c r="I235">
        <v>400</v>
      </c>
      <c r="J235">
        <f t="shared" si="12"/>
        <v>2700</v>
      </c>
      <c r="K235">
        <f t="shared" si="13"/>
        <v>1200</v>
      </c>
      <c r="L235">
        <f t="shared" si="14"/>
        <v>1500</v>
      </c>
      <c r="M235" s="9">
        <f t="shared" si="15"/>
        <v>0.55555555555555558</v>
      </c>
    </row>
    <row r="236" spans="1:13" x14ac:dyDescent="0.25">
      <c r="A236" t="s">
        <v>268</v>
      </c>
      <c r="B236" s="1">
        <v>45827</v>
      </c>
      <c r="C236" t="s">
        <v>39</v>
      </c>
      <c r="D236" t="s">
        <v>11</v>
      </c>
      <c r="E236" t="s">
        <v>31</v>
      </c>
      <c r="F236" t="s">
        <v>32</v>
      </c>
      <c r="G236">
        <v>5</v>
      </c>
      <c r="H236">
        <v>1200</v>
      </c>
      <c r="I236">
        <v>550</v>
      </c>
      <c r="J236">
        <f t="shared" si="12"/>
        <v>6000</v>
      </c>
      <c r="K236">
        <f t="shared" si="13"/>
        <v>2750</v>
      </c>
      <c r="L236">
        <f t="shared" si="14"/>
        <v>3250</v>
      </c>
      <c r="M236" s="9">
        <f t="shared" si="15"/>
        <v>0.54166666666666663</v>
      </c>
    </row>
    <row r="237" spans="1:13" x14ac:dyDescent="0.25">
      <c r="A237" t="s">
        <v>269</v>
      </c>
      <c r="B237" s="1">
        <v>45828</v>
      </c>
      <c r="C237" t="s">
        <v>10</v>
      </c>
      <c r="D237" t="s">
        <v>11</v>
      </c>
      <c r="E237" t="s">
        <v>17</v>
      </c>
      <c r="F237" t="s">
        <v>18</v>
      </c>
      <c r="G237">
        <v>6</v>
      </c>
      <c r="H237">
        <v>450</v>
      </c>
      <c r="I237">
        <v>230</v>
      </c>
      <c r="J237">
        <f t="shared" si="12"/>
        <v>2700</v>
      </c>
      <c r="K237">
        <f t="shared" si="13"/>
        <v>1380</v>
      </c>
      <c r="L237">
        <f t="shared" si="14"/>
        <v>1320</v>
      </c>
      <c r="M237" s="9">
        <f t="shared" si="15"/>
        <v>0.48888888888888887</v>
      </c>
    </row>
    <row r="238" spans="1:13" x14ac:dyDescent="0.25">
      <c r="A238" t="s">
        <v>270</v>
      </c>
      <c r="B238" s="1">
        <v>45828</v>
      </c>
      <c r="C238" t="s">
        <v>25</v>
      </c>
      <c r="D238" t="s">
        <v>21</v>
      </c>
      <c r="E238" t="s">
        <v>59</v>
      </c>
      <c r="F238" t="s">
        <v>32</v>
      </c>
      <c r="G238">
        <v>1</v>
      </c>
      <c r="H238">
        <v>900</v>
      </c>
      <c r="I238">
        <v>400</v>
      </c>
      <c r="J238">
        <f t="shared" si="12"/>
        <v>900</v>
      </c>
      <c r="K238">
        <f t="shared" si="13"/>
        <v>400</v>
      </c>
      <c r="L238">
        <f t="shared" si="14"/>
        <v>500</v>
      </c>
      <c r="M238" s="9">
        <f t="shared" si="15"/>
        <v>0.55555555555555558</v>
      </c>
    </row>
    <row r="239" spans="1:13" x14ac:dyDescent="0.25">
      <c r="A239" t="s">
        <v>271</v>
      </c>
      <c r="B239" s="1">
        <v>45828</v>
      </c>
      <c r="C239" t="s">
        <v>20</v>
      </c>
      <c r="D239" t="s">
        <v>29</v>
      </c>
      <c r="E239" t="s">
        <v>27</v>
      </c>
      <c r="F239" t="s">
        <v>23</v>
      </c>
      <c r="G239">
        <v>5</v>
      </c>
      <c r="H239">
        <v>4500</v>
      </c>
      <c r="I239">
        <v>2800</v>
      </c>
      <c r="J239">
        <f t="shared" si="12"/>
        <v>22500</v>
      </c>
      <c r="K239">
        <f t="shared" si="13"/>
        <v>14000</v>
      </c>
      <c r="L239">
        <f t="shared" si="14"/>
        <v>8500</v>
      </c>
      <c r="M239" s="9">
        <f t="shared" si="15"/>
        <v>0.37777777777777777</v>
      </c>
    </row>
    <row r="240" spans="1:13" x14ac:dyDescent="0.25">
      <c r="A240" t="s">
        <v>272</v>
      </c>
      <c r="B240" s="1">
        <v>45829</v>
      </c>
      <c r="C240" t="s">
        <v>20</v>
      </c>
      <c r="D240" t="s">
        <v>11</v>
      </c>
      <c r="E240" t="s">
        <v>35</v>
      </c>
      <c r="F240" t="s">
        <v>32</v>
      </c>
      <c r="G240">
        <v>2</v>
      </c>
      <c r="H240">
        <v>2500</v>
      </c>
      <c r="I240">
        <v>1300</v>
      </c>
      <c r="J240">
        <f t="shared" si="12"/>
        <v>5000</v>
      </c>
      <c r="K240">
        <f t="shared" si="13"/>
        <v>2600</v>
      </c>
      <c r="L240">
        <f t="shared" si="14"/>
        <v>2400</v>
      </c>
      <c r="M240" s="9">
        <f t="shared" si="15"/>
        <v>0.48</v>
      </c>
    </row>
    <row r="241" spans="1:13" x14ac:dyDescent="0.25">
      <c r="A241" t="s">
        <v>273</v>
      </c>
      <c r="B241" s="1">
        <v>45829</v>
      </c>
      <c r="C241" t="s">
        <v>25</v>
      </c>
      <c r="D241" t="s">
        <v>21</v>
      </c>
      <c r="E241" t="s">
        <v>59</v>
      </c>
      <c r="F241" t="s">
        <v>32</v>
      </c>
      <c r="G241">
        <v>2</v>
      </c>
      <c r="H241">
        <v>900</v>
      </c>
      <c r="I241">
        <v>400</v>
      </c>
      <c r="J241">
        <f t="shared" si="12"/>
        <v>1800</v>
      </c>
      <c r="K241">
        <f t="shared" si="13"/>
        <v>800</v>
      </c>
      <c r="L241">
        <f t="shared" si="14"/>
        <v>1000</v>
      </c>
      <c r="M241" s="9">
        <f t="shared" si="15"/>
        <v>0.55555555555555558</v>
      </c>
    </row>
    <row r="242" spans="1:13" x14ac:dyDescent="0.25">
      <c r="A242" t="s">
        <v>274</v>
      </c>
      <c r="B242" s="1">
        <v>45829</v>
      </c>
      <c r="C242" t="s">
        <v>15</v>
      </c>
      <c r="D242" t="s">
        <v>16</v>
      </c>
      <c r="E242" t="s">
        <v>27</v>
      </c>
      <c r="F242" t="s">
        <v>23</v>
      </c>
      <c r="G242">
        <v>1</v>
      </c>
      <c r="H242">
        <v>4500</v>
      </c>
      <c r="I242">
        <v>2800</v>
      </c>
      <c r="J242">
        <f t="shared" si="12"/>
        <v>4500</v>
      </c>
      <c r="K242">
        <f t="shared" si="13"/>
        <v>2800</v>
      </c>
      <c r="L242">
        <f t="shared" si="14"/>
        <v>1700</v>
      </c>
      <c r="M242" s="9">
        <f t="shared" si="15"/>
        <v>0.37777777777777777</v>
      </c>
    </row>
    <row r="243" spans="1:13" x14ac:dyDescent="0.25">
      <c r="A243" t="s">
        <v>275</v>
      </c>
      <c r="B243" s="1">
        <v>45830</v>
      </c>
      <c r="C243" t="s">
        <v>25</v>
      </c>
      <c r="D243" t="s">
        <v>26</v>
      </c>
      <c r="E243" t="s">
        <v>78</v>
      </c>
      <c r="F243" t="s">
        <v>23</v>
      </c>
      <c r="G243">
        <v>3</v>
      </c>
      <c r="H243">
        <v>65000</v>
      </c>
      <c r="I243">
        <v>52000</v>
      </c>
      <c r="J243">
        <f t="shared" si="12"/>
        <v>195000</v>
      </c>
      <c r="K243">
        <f t="shared" si="13"/>
        <v>156000</v>
      </c>
      <c r="L243">
        <f t="shared" si="14"/>
        <v>39000</v>
      </c>
      <c r="M243" s="9">
        <f t="shared" si="15"/>
        <v>0.2</v>
      </c>
    </row>
    <row r="244" spans="1:13" x14ac:dyDescent="0.25">
      <c r="A244" t="s">
        <v>276</v>
      </c>
      <c r="B244" s="1">
        <v>45830</v>
      </c>
      <c r="C244" t="s">
        <v>20</v>
      </c>
      <c r="D244" t="s">
        <v>21</v>
      </c>
      <c r="E244" t="s">
        <v>27</v>
      </c>
      <c r="F244" t="s">
        <v>23</v>
      </c>
      <c r="G244">
        <v>2</v>
      </c>
      <c r="H244">
        <v>4725</v>
      </c>
      <c r="I244">
        <v>2800</v>
      </c>
      <c r="J244">
        <f t="shared" si="12"/>
        <v>9450</v>
      </c>
      <c r="K244">
        <f t="shared" si="13"/>
        <v>5600</v>
      </c>
      <c r="L244">
        <f t="shared" si="14"/>
        <v>3850</v>
      </c>
      <c r="M244" s="9">
        <f t="shared" si="15"/>
        <v>0.40740740740740738</v>
      </c>
    </row>
    <row r="245" spans="1:13" x14ac:dyDescent="0.25">
      <c r="A245" t="s">
        <v>277</v>
      </c>
      <c r="B245" s="1">
        <v>45831</v>
      </c>
      <c r="C245" t="s">
        <v>10</v>
      </c>
      <c r="D245" t="s">
        <v>21</v>
      </c>
      <c r="E245" t="s">
        <v>31</v>
      </c>
      <c r="F245" t="s">
        <v>32</v>
      </c>
      <c r="G245">
        <v>8</v>
      </c>
      <c r="H245">
        <v>1200</v>
      </c>
      <c r="I245">
        <v>550</v>
      </c>
      <c r="J245">
        <f t="shared" si="12"/>
        <v>9600</v>
      </c>
      <c r="K245">
        <f t="shared" si="13"/>
        <v>4400</v>
      </c>
      <c r="L245">
        <f t="shared" si="14"/>
        <v>5200</v>
      </c>
      <c r="M245" s="9">
        <f t="shared" si="15"/>
        <v>0.54166666666666663</v>
      </c>
    </row>
    <row r="246" spans="1:13" x14ac:dyDescent="0.25">
      <c r="A246" t="s">
        <v>278</v>
      </c>
      <c r="B246" s="1">
        <v>45834</v>
      </c>
      <c r="C246" t="s">
        <v>15</v>
      </c>
      <c r="D246" t="s">
        <v>16</v>
      </c>
      <c r="E246" t="s">
        <v>59</v>
      </c>
      <c r="F246" t="s">
        <v>32</v>
      </c>
      <c r="G246">
        <v>2</v>
      </c>
      <c r="H246">
        <v>900</v>
      </c>
      <c r="I246">
        <v>400</v>
      </c>
      <c r="J246">
        <f t="shared" si="12"/>
        <v>1800</v>
      </c>
      <c r="K246">
        <f t="shared" si="13"/>
        <v>800</v>
      </c>
      <c r="L246">
        <f t="shared" si="14"/>
        <v>1000</v>
      </c>
      <c r="M246" s="9">
        <f t="shared" si="15"/>
        <v>0.55555555555555558</v>
      </c>
    </row>
    <row r="247" spans="1:13" x14ac:dyDescent="0.25">
      <c r="A247" t="s">
        <v>279</v>
      </c>
      <c r="B247" s="1">
        <v>45835</v>
      </c>
      <c r="C247" t="s">
        <v>10</v>
      </c>
      <c r="D247" t="s">
        <v>21</v>
      </c>
      <c r="E247" t="s">
        <v>27</v>
      </c>
      <c r="F247" t="s">
        <v>23</v>
      </c>
      <c r="G247">
        <v>2</v>
      </c>
      <c r="H247">
        <v>4500</v>
      </c>
      <c r="I247">
        <v>2800</v>
      </c>
      <c r="J247">
        <f t="shared" si="12"/>
        <v>9000</v>
      </c>
      <c r="K247">
        <f t="shared" si="13"/>
        <v>5600</v>
      </c>
      <c r="L247">
        <f t="shared" si="14"/>
        <v>3400</v>
      </c>
      <c r="M247" s="9">
        <f t="shared" si="15"/>
        <v>0.37777777777777777</v>
      </c>
    </row>
    <row r="248" spans="1:13" x14ac:dyDescent="0.25">
      <c r="A248" t="s">
        <v>280</v>
      </c>
      <c r="B248" s="1">
        <v>45836</v>
      </c>
      <c r="C248" t="s">
        <v>25</v>
      </c>
      <c r="D248" t="s">
        <v>29</v>
      </c>
      <c r="E248" t="s">
        <v>78</v>
      </c>
      <c r="F248" t="s">
        <v>23</v>
      </c>
      <c r="G248">
        <v>4</v>
      </c>
      <c r="H248">
        <v>65000</v>
      </c>
      <c r="I248">
        <v>52000</v>
      </c>
      <c r="J248">
        <f t="shared" si="12"/>
        <v>260000</v>
      </c>
      <c r="K248">
        <f t="shared" si="13"/>
        <v>208000</v>
      </c>
      <c r="L248">
        <f t="shared" si="14"/>
        <v>52000</v>
      </c>
      <c r="M248" s="9">
        <f t="shared" si="15"/>
        <v>0.2</v>
      </c>
    </row>
    <row r="249" spans="1:13" x14ac:dyDescent="0.25">
      <c r="A249" t="s">
        <v>281</v>
      </c>
      <c r="B249" s="1">
        <v>45837</v>
      </c>
      <c r="C249" t="s">
        <v>20</v>
      </c>
      <c r="D249" t="s">
        <v>16</v>
      </c>
      <c r="E249" t="s">
        <v>31</v>
      </c>
      <c r="F249" t="s">
        <v>32</v>
      </c>
      <c r="G249">
        <v>6</v>
      </c>
      <c r="H249">
        <v>1200</v>
      </c>
      <c r="I249">
        <v>550</v>
      </c>
      <c r="J249">
        <f t="shared" si="12"/>
        <v>7200</v>
      </c>
      <c r="K249">
        <f t="shared" si="13"/>
        <v>3300</v>
      </c>
      <c r="L249">
        <f t="shared" si="14"/>
        <v>3900</v>
      </c>
      <c r="M249" s="9">
        <f t="shared" si="15"/>
        <v>0.54166666666666663</v>
      </c>
    </row>
    <row r="250" spans="1:13" x14ac:dyDescent="0.25">
      <c r="A250" t="s">
        <v>282</v>
      </c>
      <c r="B250" s="1">
        <v>45837</v>
      </c>
      <c r="C250" t="s">
        <v>15</v>
      </c>
      <c r="D250" t="s">
        <v>16</v>
      </c>
      <c r="E250" t="s">
        <v>43</v>
      </c>
      <c r="F250" t="s">
        <v>13</v>
      </c>
      <c r="G250">
        <v>3</v>
      </c>
      <c r="H250">
        <v>13750</v>
      </c>
      <c r="I250">
        <v>8500</v>
      </c>
      <c r="J250">
        <f t="shared" si="12"/>
        <v>41250</v>
      </c>
      <c r="K250">
        <f t="shared" si="13"/>
        <v>25500</v>
      </c>
      <c r="L250">
        <f t="shared" si="14"/>
        <v>15750</v>
      </c>
      <c r="M250" s="9">
        <f t="shared" si="15"/>
        <v>0.38181818181818183</v>
      </c>
    </row>
    <row r="251" spans="1:13" x14ac:dyDescent="0.25">
      <c r="A251" t="s">
        <v>283</v>
      </c>
      <c r="B251" s="1">
        <v>45838</v>
      </c>
      <c r="C251" t="s">
        <v>20</v>
      </c>
      <c r="D251" t="s">
        <v>11</v>
      </c>
      <c r="E251" t="s">
        <v>43</v>
      </c>
      <c r="F251" t="s">
        <v>13</v>
      </c>
      <c r="G251">
        <v>5</v>
      </c>
      <c r="H251">
        <v>13750</v>
      </c>
      <c r="I251">
        <v>8500</v>
      </c>
      <c r="J251">
        <f t="shared" si="12"/>
        <v>68750</v>
      </c>
      <c r="K251">
        <f t="shared" si="13"/>
        <v>42500</v>
      </c>
      <c r="L251">
        <f t="shared" si="14"/>
        <v>26250</v>
      </c>
      <c r="M251" s="9">
        <f t="shared" si="15"/>
        <v>0.38181818181818183</v>
      </c>
    </row>
    <row r="252" spans="1:13" x14ac:dyDescent="0.25">
      <c r="A252" t="s">
        <v>284</v>
      </c>
      <c r="B252" s="1">
        <v>45838</v>
      </c>
      <c r="C252" t="s">
        <v>39</v>
      </c>
      <c r="D252" t="s">
        <v>16</v>
      </c>
      <c r="E252" t="s">
        <v>22</v>
      </c>
      <c r="F252" t="s">
        <v>23</v>
      </c>
      <c r="G252">
        <v>2</v>
      </c>
      <c r="H252">
        <v>18000</v>
      </c>
      <c r="I252">
        <v>13500</v>
      </c>
      <c r="J252">
        <f t="shared" si="12"/>
        <v>36000</v>
      </c>
      <c r="K252">
        <f t="shared" si="13"/>
        <v>27000</v>
      </c>
      <c r="L252">
        <f t="shared" si="14"/>
        <v>9000</v>
      </c>
      <c r="M252" s="9">
        <f t="shared" si="15"/>
        <v>0.25</v>
      </c>
    </row>
    <row r="253" spans="1:13" x14ac:dyDescent="0.25">
      <c r="A253" t="s">
        <v>285</v>
      </c>
      <c r="B253" s="1">
        <v>45838</v>
      </c>
      <c r="C253" t="s">
        <v>39</v>
      </c>
      <c r="D253" t="s">
        <v>21</v>
      </c>
      <c r="E253" t="s">
        <v>31</v>
      </c>
      <c r="F253" t="s">
        <v>32</v>
      </c>
      <c r="G253">
        <v>5</v>
      </c>
      <c r="H253">
        <v>1200</v>
      </c>
      <c r="I253">
        <v>550</v>
      </c>
      <c r="J253">
        <f t="shared" si="12"/>
        <v>6000</v>
      </c>
      <c r="K253">
        <f t="shared" si="13"/>
        <v>2750</v>
      </c>
      <c r="L253">
        <f t="shared" si="14"/>
        <v>3250</v>
      </c>
      <c r="M253" s="9">
        <f t="shared" si="15"/>
        <v>0.54166666666666663</v>
      </c>
    </row>
    <row r="254" spans="1:13" x14ac:dyDescent="0.25">
      <c r="A254" t="s">
        <v>286</v>
      </c>
      <c r="B254" s="1">
        <v>45839</v>
      </c>
      <c r="C254" t="s">
        <v>25</v>
      </c>
      <c r="D254" t="s">
        <v>16</v>
      </c>
      <c r="E254" t="s">
        <v>50</v>
      </c>
      <c r="F254" t="s">
        <v>18</v>
      </c>
      <c r="G254">
        <v>4</v>
      </c>
      <c r="H254">
        <v>24000</v>
      </c>
      <c r="I254">
        <v>18500</v>
      </c>
      <c r="J254">
        <f t="shared" si="12"/>
        <v>96000</v>
      </c>
      <c r="K254">
        <f t="shared" si="13"/>
        <v>74000</v>
      </c>
      <c r="L254">
        <f t="shared" si="14"/>
        <v>22000</v>
      </c>
      <c r="M254" s="9">
        <f t="shared" si="15"/>
        <v>0.22916666666666666</v>
      </c>
    </row>
    <row r="255" spans="1:13" x14ac:dyDescent="0.25">
      <c r="A255" t="s">
        <v>287</v>
      </c>
      <c r="B255" s="1">
        <v>45839</v>
      </c>
      <c r="C255" t="s">
        <v>39</v>
      </c>
      <c r="D255" t="s">
        <v>29</v>
      </c>
      <c r="E255" t="s">
        <v>43</v>
      </c>
      <c r="F255" t="s">
        <v>13</v>
      </c>
      <c r="G255">
        <v>6</v>
      </c>
      <c r="H255">
        <v>13750</v>
      </c>
      <c r="I255">
        <v>8500</v>
      </c>
      <c r="J255">
        <f t="shared" si="12"/>
        <v>82500</v>
      </c>
      <c r="K255">
        <f t="shared" si="13"/>
        <v>51000</v>
      </c>
      <c r="L255">
        <f t="shared" si="14"/>
        <v>31500</v>
      </c>
      <c r="M255" s="9">
        <f t="shared" si="15"/>
        <v>0.38181818181818183</v>
      </c>
    </row>
    <row r="256" spans="1:13" x14ac:dyDescent="0.25">
      <c r="A256" t="s">
        <v>288</v>
      </c>
      <c r="B256" s="1">
        <v>45840</v>
      </c>
      <c r="C256" t="s">
        <v>10</v>
      </c>
      <c r="D256" t="s">
        <v>29</v>
      </c>
      <c r="E256" t="s">
        <v>17</v>
      </c>
      <c r="F256" t="s">
        <v>18</v>
      </c>
      <c r="G256">
        <v>1</v>
      </c>
      <c r="H256">
        <v>450</v>
      </c>
      <c r="I256">
        <v>230</v>
      </c>
      <c r="J256">
        <f t="shared" si="12"/>
        <v>450</v>
      </c>
      <c r="K256">
        <f t="shared" si="13"/>
        <v>230</v>
      </c>
      <c r="L256">
        <f t="shared" si="14"/>
        <v>220</v>
      </c>
      <c r="M256" s="9">
        <f t="shared" si="15"/>
        <v>0.48888888888888887</v>
      </c>
    </row>
    <row r="257" spans="1:13" x14ac:dyDescent="0.25">
      <c r="A257" t="s">
        <v>289</v>
      </c>
      <c r="B257" s="1">
        <v>45840</v>
      </c>
      <c r="C257" t="s">
        <v>15</v>
      </c>
      <c r="D257" t="s">
        <v>21</v>
      </c>
      <c r="E257" t="s">
        <v>27</v>
      </c>
      <c r="F257" t="s">
        <v>23</v>
      </c>
      <c r="G257">
        <v>2</v>
      </c>
      <c r="H257">
        <v>4500</v>
      </c>
      <c r="I257">
        <v>2800</v>
      </c>
      <c r="J257">
        <f t="shared" si="12"/>
        <v>9000</v>
      </c>
      <c r="K257">
        <f t="shared" si="13"/>
        <v>5600</v>
      </c>
      <c r="L257">
        <f t="shared" si="14"/>
        <v>3400</v>
      </c>
      <c r="M257" s="9">
        <f t="shared" si="15"/>
        <v>0.37777777777777777</v>
      </c>
    </row>
    <row r="258" spans="1:13" x14ac:dyDescent="0.25">
      <c r="A258" t="s">
        <v>290</v>
      </c>
      <c r="B258" s="1">
        <v>45840</v>
      </c>
      <c r="C258" t="s">
        <v>15</v>
      </c>
      <c r="D258" t="s">
        <v>21</v>
      </c>
      <c r="E258" t="s">
        <v>22</v>
      </c>
      <c r="F258" t="s">
        <v>23</v>
      </c>
      <c r="G258">
        <v>2</v>
      </c>
      <c r="H258">
        <v>19800</v>
      </c>
      <c r="I258">
        <v>13500</v>
      </c>
      <c r="J258">
        <f t="shared" ref="J258:J321" si="16">G258*H258</f>
        <v>39600</v>
      </c>
      <c r="K258">
        <f t="shared" ref="K258:K321" si="17">G258*I258</f>
        <v>27000</v>
      </c>
      <c r="L258">
        <f t="shared" ref="L258:L321" si="18">J258-K258</f>
        <v>12600</v>
      </c>
      <c r="M258" s="9">
        <f t="shared" si="15"/>
        <v>0.31818181818181818</v>
      </c>
    </row>
    <row r="259" spans="1:13" x14ac:dyDescent="0.25">
      <c r="A259" t="s">
        <v>291</v>
      </c>
      <c r="B259" s="1">
        <v>45840</v>
      </c>
      <c r="C259" t="s">
        <v>10</v>
      </c>
      <c r="D259" t="s">
        <v>26</v>
      </c>
      <c r="E259" t="s">
        <v>35</v>
      </c>
      <c r="F259" t="s">
        <v>32</v>
      </c>
      <c r="G259">
        <v>8</v>
      </c>
      <c r="H259">
        <v>2750</v>
      </c>
      <c r="I259">
        <v>1300</v>
      </c>
      <c r="J259">
        <f t="shared" si="16"/>
        <v>22000</v>
      </c>
      <c r="K259">
        <f t="shared" si="17"/>
        <v>10400</v>
      </c>
      <c r="L259">
        <f t="shared" si="18"/>
        <v>11600</v>
      </c>
      <c r="M259" s="9">
        <f t="shared" ref="M259:M322" si="19">(J259-K259)/J259</f>
        <v>0.52727272727272723</v>
      </c>
    </row>
    <row r="260" spans="1:13" x14ac:dyDescent="0.25">
      <c r="A260" t="s">
        <v>292</v>
      </c>
      <c r="B260" s="1">
        <v>45840</v>
      </c>
      <c r="C260" t="s">
        <v>39</v>
      </c>
      <c r="D260" t="s">
        <v>29</v>
      </c>
      <c r="E260" t="s">
        <v>27</v>
      </c>
      <c r="F260" t="s">
        <v>23</v>
      </c>
      <c r="G260">
        <v>3</v>
      </c>
      <c r="H260">
        <v>4500</v>
      </c>
      <c r="I260">
        <v>2800</v>
      </c>
      <c r="J260">
        <f t="shared" si="16"/>
        <v>13500</v>
      </c>
      <c r="K260">
        <f t="shared" si="17"/>
        <v>8400</v>
      </c>
      <c r="L260">
        <f t="shared" si="18"/>
        <v>5100</v>
      </c>
      <c r="M260" s="9">
        <f t="shared" si="19"/>
        <v>0.37777777777777777</v>
      </c>
    </row>
    <row r="261" spans="1:13" x14ac:dyDescent="0.25">
      <c r="A261" t="s">
        <v>293</v>
      </c>
      <c r="B261" s="1">
        <v>45842</v>
      </c>
      <c r="C261" t="s">
        <v>25</v>
      </c>
      <c r="D261" t="s">
        <v>11</v>
      </c>
      <c r="E261" t="s">
        <v>31</v>
      </c>
      <c r="F261" t="s">
        <v>32</v>
      </c>
      <c r="G261">
        <v>4</v>
      </c>
      <c r="H261">
        <v>1080</v>
      </c>
      <c r="I261">
        <v>550</v>
      </c>
      <c r="J261">
        <f t="shared" si="16"/>
        <v>4320</v>
      </c>
      <c r="K261">
        <f t="shared" si="17"/>
        <v>2200</v>
      </c>
      <c r="L261">
        <f t="shared" si="18"/>
        <v>2120</v>
      </c>
      <c r="M261" s="9">
        <f t="shared" si="19"/>
        <v>0.49074074074074076</v>
      </c>
    </row>
    <row r="262" spans="1:13" x14ac:dyDescent="0.25">
      <c r="A262" t="s">
        <v>294</v>
      </c>
      <c r="B262" s="1">
        <v>45842</v>
      </c>
      <c r="C262" t="s">
        <v>25</v>
      </c>
      <c r="D262" t="s">
        <v>11</v>
      </c>
      <c r="E262" t="s">
        <v>59</v>
      </c>
      <c r="F262" t="s">
        <v>32</v>
      </c>
      <c r="G262">
        <v>5</v>
      </c>
      <c r="H262">
        <v>900</v>
      </c>
      <c r="I262">
        <v>400</v>
      </c>
      <c r="J262">
        <f t="shared" si="16"/>
        <v>4500</v>
      </c>
      <c r="K262">
        <f t="shared" si="17"/>
        <v>2000</v>
      </c>
      <c r="L262">
        <f t="shared" si="18"/>
        <v>2500</v>
      </c>
      <c r="M262" s="9">
        <f t="shared" si="19"/>
        <v>0.55555555555555558</v>
      </c>
    </row>
    <row r="263" spans="1:13" x14ac:dyDescent="0.25">
      <c r="A263" t="s">
        <v>295</v>
      </c>
      <c r="B263" s="1">
        <v>45842</v>
      </c>
      <c r="C263" t="s">
        <v>25</v>
      </c>
      <c r="D263" t="s">
        <v>26</v>
      </c>
      <c r="E263" t="s">
        <v>27</v>
      </c>
      <c r="F263" t="s">
        <v>23</v>
      </c>
      <c r="G263">
        <v>5</v>
      </c>
      <c r="H263">
        <v>4500</v>
      </c>
      <c r="I263">
        <v>2800</v>
      </c>
      <c r="J263">
        <f t="shared" si="16"/>
        <v>22500</v>
      </c>
      <c r="K263">
        <f t="shared" si="17"/>
        <v>14000</v>
      </c>
      <c r="L263">
        <f t="shared" si="18"/>
        <v>8500</v>
      </c>
      <c r="M263" s="9">
        <f t="shared" si="19"/>
        <v>0.37777777777777777</v>
      </c>
    </row>
    <row r="264" spans="1:13" x14ac:dyDescent="0.25">
      <c r="A264" t="s">
        <v>296</v>
      </c>
      <c r="B264" s="1">
        <v>45843</v>
      </c>
      <c r="C264" t="s">
        <v>20</v>
      </c>
      <c r="D264" t="s">
        <v>26</v>
      </c>
      <c r="E264" t="s">
        <v>59</v>
      </c>
      <c r="F264" t="s">
        <v>32</v>
      </c>
      <c r="G264">
        <v>1</v>
      </c>
      <c r="H264">
        <v>900</v>
      </c>
      <c r="I264">
        <v>400</v>
      </c>
      <c r="J264">
        <f t="shared" si="16"/>
        <v>900</v>
      </c>
      <c r="K264">
        <f t="shared" si="17"/>
        <v>400</v>
      </c>
      <c r="L264">
        <f t="shared" si="18"/>
        <v>500</v>
      </c>
      <c r="M264" s="9">
        <f t="shared" si="19"/>
        <v>0.55555555555555558</v>
      </c>
    </row>
    <row r="265" spans="1:13" x14ac:dyDescent="0.25">
      <c r="A265" t="s">
        <v>297</v>
      </c>
      <c r="B265" s="1">
        <v>45845</v>
      </c>
      <c r="C265" t="s">
        <v>20</v>
      </c>
      <c r="D265" t="s">
        <v>29</v>
      </c>
      <c r="E265" t="s">
        <v>31</v>
      </c>
      <c r="F265" t="s">
        <v>32</v>
      </c>
      <c r="G265">
        <v>6</v>
      </c>
      <c r="H265">
        <v>1200</v>
      </c>
      <c r="I265">
        <v>550</v>
      </c>
      <c r="J265">
        <f t="shared" si="16"/>
        <v>7200</v>
      </c>
      <c r="K265">
        <f t="shared" si="17"/>
        <v>3300</v>
      </c>
      <c r="L265">
        <f t="shared" si="18"/>
        <v>3900</v>
      </c>
      <c r="M265" s="9">
        <f t="shared" si="19"/>
        <v>0.54166666666666663</v>
      </c>
    </row>
    <row r="266" spans="1:13" x14ac:dyDescent="0.25">
      <c r="A266" t="s">
        <v>298</v>
      </c>
      <c r="B266" s="1">
        <v>45845</v>
      </c>
      <c r="C266" t="s">
        <v>39</v>
      </c>
      <c r="D266" t="s">
        <v>21</v>
      </c>
      <c r="E266" t="s">
        <v>59</v>
      </c>
      <c r="F266" t="s">
        <v>32</v>
      </c>
      <c r="G266">
        <v>7</v>
      </c>
      <c r="H266">
        <v>900</v>
      </c>
      <c r="I266">
        <v>400</v>
      </c>
      <c r="J266">
        <f t="shared" si="16"/>
        <v>6300</v>
      </c>
      <c r="K266">
        <f t="shared" si="17"/>
        <v>2800</v>
      </c>
      <c r="L266">
        <f t="shared" si="18"/>
        <v>3500</v>
      </c>
      <c r="M266" s="9">
        <f t="shared" si="19"/>
        <v>0.55555555555555558</v>
      </c>
    </row>
    <row r="267" spans="1:13" x14ac:dyDescent="0.25">
      <c r="A267" t="s">
        <v>299</v>
      </c>
      <c r="B267" s="1">
        <v>45847</v>
      </c>
      <c r="C267" t="s">
        <v>10</v>
      </c>
      <c r="D267" t="s">
        <v>26</v>
      </c>
      <c r="E267" t="s">
        <v>17</v>
      </c>
      <c r="F267" t="s">
        <v>18</v>
      </c>
      <c r="G267">
        <v>5</v>
      </c>
      <c r="H267">
        <v>495</v>
      </c>
      <c r="I267">
        <v>230</v>
      </c>
      <c r="J267">
        <f t="shared" si="16"/>
        <v>2475</v>
      </c>
      <c r="K267">
        <f t="shared" si="17"/>
        <v>1150</v>
      </c>
      <c r="L267">
        <f t="shared" si="18"/>
        <v>1325</v>
      </c>
      <c r="M267" s="9">
        <f t="shared" si="19"/>
        <v>0.53535353535353536</v>
      </c>
    </row>
    <row r="268" spans="1:13" x14ac:dyDescent="0.25">
      <c r="A268" t="s">
        <v>300</v>
      </c>
      <c r="B268" s="1">
        <v>45848</v>
      </c>
      <c r="C268" t="s">
        <v>15</v>
      </c>
      <c r="D268" t="s">
        <v>16</v>
      </c>
      <c r="E268" t="s">
        <v>50</v>
      </c>
      <c r="F268" t="s">
        <v>18</v>
      </c>
      <c r="G268">
        <v>3</v>
      </c>
      <c r="H268">
        <v>26400</v>
      </c>
      <c r="I268">
        <v>18500</v>
      </c>
      <c r="J268">
        <f t="shared" si="16"/>
        <v>79200</v>
      </c>
      <c r="K268">
        <f t="shared" si="17"/>
        <v>55500</v>
      </c>
      <c r="L268">
        <f t="shared" si="18"/>
        <v>23700</v>
      </c>
      <c r="M268" s="9">
        <f t="shared" si="19"/>
        <v>0.29924242424242425</v>
      </c>
    </row>
    <row r="269" spans="1:13" x14ac:dyDescent="0.25">
      <c r="A269" t="s">
        <v>301</v>
      </c>
      <c r="B269" s="1">
        <v>45848</v>
      </c>
      <c r="C269" t="s">
        <v>15</v>
      </c>
      <c r="D269" t="s">
        <v>37</v>
      </c>
      <c r="E269" t="s">
        <v>27</v>
      </c>
      <c r="F269" t="s">
        <v>23</v>
      </c>
      <c r="G269">
        <v>7</v>
      </c>
      <c r="H269">
        <v>4050</v>
      </c>
      <c r="I269">
        <v>2800</v>
      </c>
      <c r="J269">
        <f t="shared" si="16"/>
        <v>28350</v>
      </c>
      <c r="K269">
        <f t="shared" si="17"/>
        <v>19600</v>
      </c>
      <c r="L269">
        <f t="shared" si="18"/>
        <v>8750</v>
      </c>
      <c r="M269" s="9">
        <f t="shared" si="19"/>
        <v>0.30864197530864196</v>
      </c>
    </row>
    <row r="270" spans="1:13" x14ac:dyDescent="0.25">
      <c r="A270" t="s">
        <v>302</v>
      </c>
      <c r="B270" s="1">
        <v>45850</v>
      </c>
      <c r="C270" t="s">
        <v>15</v>
      </c>
      <c r="D270" t="s">
        <v>21</v>
      </c>
      <c r="E270" t="s">
        <v>59</v>
      </c>
      <c r="F270" t="s">
        <v>32</v>
      </c>
      <c r="G270">
        <v>1</v>
      </c>
      <c r="H270">
        <v>945</v>
      </c>
      <c r="I270">
        <v>400</v>
      </c>
      <c r="J270">
        <f t="shared" si="16"/>
        <v>945</v>
      </c>
      <c r="K270">
        <f t="shared" si="17"/>
        <v>400</v>
      </c>
      <c r="L270">
        <f t="shared" si="18"/>
        <v>545</v>
      </c>
      <c r="M270" s="9">
        <f t="shared" si="19"/>
        <v>0.57671957671957674</v>
      </c>
    </row>
    <row r="271" spans="1:13" x14ac:dyDescent="0.25">
      <c r="A271" t="s">
        <v>303</v>
      </c>
      <c r="B271" s="1">
        <v>45851</v>
      </c>
      <c r="C271" t="s">
        <v>10</v>
      </c>
      <c r="D271" t="s">
        <v>37</v>
      </c>
      <c r="E271" t="s">
        <v>35</v>
      </c>
      <c r="F271" t="s">
        <v>32</v>
      </c>
      <c r="G271">
        <v>1</v>
      </c>
      <c r="H271">
        <v>2500</v>
      </c>
      <c r="I271">
        <v>1300</v>
      </c>
      <c r="J271">
        <f t="shared" si="16"/>
        <v>2500</v>
      </c>
      <c r="K271">
        <f t="shared" si="17"/>
        <v>1300</v>
      </c>
      <c r="L271">
        <f t="shared" si="18"/>
        <v>1200</v>
      </c>
      <c r="M271" s="9">
        <f t="shared" si="19"/>
        <v>0.48</v>
      </c>
    </row>
    <row r="272" spans="1:13" x14ac:dyDescent="0.25">
      <c r="A272" t="s">
        <v>304</v>
      </c>
      <c r="B272" s="1">
        <v>45852</v>
      </c>
      <c r="C272" t="s">
        <v>15</v>
      </c>
      <c r="D272" t="s">
        <v>29</v>
      </c>
      <c r="E272" t="s">
        <v>35</v>
      </c>
      <c r="F272" t="s">
        <v>32</v>
      </c>
      <c r="G272">
        <v>5</v>
      </c>
      <c r="H272">
        <v>2500</v>
      </c>
      <c r="I272">
        <v>1300</v>
      </c>
      <c r="J272">
        <f t="shared" si="16"/>
        <v>12500</v>
      </c>
      <c r="K272">
        <f t="shared" si="17"/>
        <v>6500</v>
      </c>
      <c r="L272">
        <f t="shared" si="18"/>
        <v>6000</v>
      </c>
      <c r="M272" s="9">
        <f t="shared" si="19"/>
        <v>0.48</v>
      </c>
    </row>
    <row r="273" spans="1:13" x14ac:dyDescent="0.25">
      <c r="A273" t="s">
        <v>305</v>
      </c>
      <c r="B273" s="1">
        <v>45855</v>
      </c>
      <c r="C273" t="s">
        <v>15</v>
      </c>
      <c r="D273" t="s">
        <v>29</v>
      </c>
      <c r="E273" t="s">
        <v>27</v>
      </c>
      <c r="F273" t="s">
        <v>23</v>
      </c>
      <c r="G273">
        <v>3</v>
      </c>
      <c r="H273">
        <v>4500</v>
      </c>
      <c r="I273">
        <v>2800</v>
      </c>
      <c r="J273">
        <f t="shared" si="16"/>
        <v>13500</v>
      </c>
      <c r="K273">
        <f t="shared" si="17"/>
        <v>8400</v>
      </c>
      <c r="L273">
        <f t="shared" si="18"/>
        <v>5100</v>
      </c>
      <c r="M273" s="9">
        <f t="shared" si="19"/>
        <v>0.37777777777777777</v>
      </c>
    </row>
    <row r="274" spans="1:13" x14ac:dyDescent="0.25">
      <c r="A274" t="s">
        <v>306</v>
      </c>
      <c r="B274" s="1">
        <v>45856</v>
      </c>
      <c r="C274" t="s">
        <v>15</v>
      </c>
      <c r="D274" t="s">
        <v>29</v>
      </c>
      <c r="E274" t="s">
        <v>31</v>
      </c>
      <c r="F274" t="s">
        <v>32</v>
      </c>
      <c r="G274">
        <v>7</v>
      </c>
      <c r="H274">
        <v>1200</v>
      </c>
      <c r="I274">
        <v>550</v>
      </c>
      <c r="J274">
        <f t="shared" si="16"/>
        <v>8400</v>
      </c>
      <c r="K274">
        <f t="shared" si="17"/>
        <v>3850</v>
      </c>
      <c r="L274">
        <f t="shared" si="18"/>
        <v>4550</v>
      </c>
      <c r="M274" s="9">
        <f t="shared" si="19"/>
        <v>0.54166666666666663</v>
      </c>
    </row>
    <row r="275" spans="1:13" x14ac:dyDescent="0.25">
      <c r="A275" t="s">
        <v>307</v>
      </c>
      <c r="B275" s="1">
        <v>45856</v>
      </c>
      <c r="C275" t="s">
        <v>25</v>
      </c>
      <c r="D275" t="s">
        <v>21</v>
      </c>
      <c r="E275" t="s">
        <v>78</v>
      </c>
      <c r="F275" t="s">
        <v>23</v>
      </c>
      <c r="G275">
        <v>6</v>
      </c>
      <c r="H275">
        <v>65000</v>
      </c>
      <c r="I275">
        <v>52000</v>
      </c>
      <c r="J275">
        <f t="shared" si="16"/>
        <v>390000</v>
      </c>
      <c r="K275">
        <f t="shared" si="17"/>
        <v>312000</v>
      </c>
      <c r="L275">
        <f t="shared" si="18"/>
        <v>78000</v>
      </c>
      <c r="M275" s="9">
        <f t="shared" si="19"/>
        <v>0.2</v>
      </c>
    </row>
    <row r="276" spans="1:13" x14ac:dyDescent="0.25">
      <c r="A276" t="s">
        <v>308</v>
      </c>
      <c r="B276" s="1">
        <v>45857</v>
      </c>
      <c r="C276" t="s">
        <v>10</v>
      </c>
      <c r="D276" t="s">
        <v>29</v>
      </c>
      <c r="E276" t="s">
        <v>59</v>
      </c>
      <c r="F276" t="s">
        <v>32</v>
      </c>
      <c r="G276">
        <v>3</v>
      </c>
      <c r="H276">
        <v>900</v>
      </c>
      <c r="I276">
        <v>400</v>
      </c>
      <c r="J276">
        <f t="shared" si="16"/>
        <v>2700</v>
      </c>
      <c r="K276">
        <f t="shared" si="17"/>
        <v>1200</v>
      </c>
      <c r="L276">
        <f t="shared" si="18"/>
        <v>1500</v>
      </c>
      <c r="M276" s="9">
        <f t="shared" si="19"/>
        <v>0.55555555555555558</v>
      </c>
    </row>
    <row r="277" spans="1:13" x14ac:dyDescent="0.25">
      <c r="A277" t="s">
        <v>309</v>
      </c>
      <c r="B277" s="1">
        <v>45857</v>
      </c>
      <c r="C277" t="s">
        <v>25</v>
      </c>
      <c r="D277" t="s">
        <v>21</v>
      </c>
      <c r="E277" t="s">
        <v>22</v>
      </c>
      <c r="F277" t="s">
        <v>23</v>
      </c>
      <c r="G277">
        <v>6</v>
      </c>
      <c r="H277">
        <v>18000</v>
      </c>
      <c r="I277">
        <v>13500</v>
      </c>
      <c r="J277">
        <f t="shared" si="16"/>
        <v>108000</v>
      </c>
      <c r="K277">
        <f t="shared" si="17"/>
        <v>81000</v>
      </c>
      <c r="L277">
        <f t="shared" si="18"/>
        <v>27000</v>
      </c>
      <c r="M277" s="9">
        <f t="shared" si="19"/>
        <v>0.25</v>
      </c>
    </row>
    <row r="278" spans="1:13" x14ac:dyDescent="0.25">
      <c r="A278" t="s">
        <v>310</v>
      </c>
      <c r="B278" s="1">
        <v>45857</v>
      </c>
      <c r="C278" t="s">
        <v>20</v>
      </c>
      <c r="D278" t="s">
        <v>29</v>
      </c>
      <c r="E278" t="s">
        <v>35</v>
      </c>
      <c r="F278" t="s">
        <v>32</v>
      </c>
      <c r="G278">
        <v>1</v>
      </c>
      <c r="H278">
        <v>2500</v>
      </c>
      <c r="I278">
        <v>1300</v>
      </c>
      <c r="J278">
        <f t="shared" si="16"/>
        <v>2500</v>
      </c>
      <c r="K278">
        <f t="shared" si="17"/>
        <v>1300</v>
      </c>
      <c r="L278">
        <f t="shared" si="18"/>
        <v>1200</v>
      </c>
      <c r="M278" s="9">
        <f t="shared" si="19"/>
        <v>0.48</v>
      </c>
    </row>
    <row r="279" spans="1:13" x14ac:dyDescent="0.25">
      <c r="A279" t="s">
        <v>311</v>
      </c>
      <c r="B279" s="1">
        <v>45857</v>
      </c>
      <c r="C279" t="s">
        <v>39</v>
      </c>
      <c r="D279" t="s">
        <v>37</v>
      </c>
      <c r="E279" t="s">
        <v>31</v>
      </c>
      <c r="F279" t="s">
        <v>32</v>
      </c>
      <c r="G279">
        <v>4</v>
      </c>
      <c r="H279">
        <v>1200</v>
      </c>
      <c r="I279">
        <v>550</v>
      </c>
      <c r="J279">
        <f t="shared" si="16"/>
        <v>4800</v>
      </c>
      <c r="K279">
        <f t="shared" si="17"/>
        <v>2200</v>
      </c>
      <c r="L279">
        <f t="shared" si="18"/>
        <v>2600</v>
      </c>
      <c r="M279" s="9">
        <f t="shared" si="19"/>
        <v>0.54166666666666663</v>
      </c>
    </row>
    <row r="280" spans="1:13" x14ac:dyDescent="0.25">
      <c r="A280" t="s">
        <v>312</v>
      </c>
      <c r="B280" s="1">
        <v>45860</v>
      </c>
      <c r="C280" t="s">
        <v>15</v>
      </c>
      <c r="D280" t="s">
        <v>26</v>
      </c>
      <c r="E280" t="s">
        <v>31</v>
      </c>
      <c r="F280" t="s">
        <v>32</v>
      </c>
      <c r="G280">
        <v>5</v>
      </c>
      <c r="H280">
        <v>1200</v>
      </c>
      <c r="I280">
        <v>550</v>
      </c>
      <c r="J280">
        <f t="shared" si="16"/>
        <v>6000</v>
      </c>
      <c r="K280">
        <f t="shared" si="17"/>
        <v>2750</v>
      </c>
      <c r="L280">
        <f t="shared" si="18"/>
        <v>3250</v>
      </c>
      <c r="M280" s="9">
        <f t="shared" si="19"/>
        <v>0.54166666666666663</v>
      </c>
    </row>
    <row r="281" spans="1:13" x14ac:dyDescent="0.25">
      <c r="A281" t="s">
        <v>313</v>
      </c>
      <c r="B281" s="1">
        <v>45860</v>
      </c>
      <c r="C281" t="s">
        <v>39</v>
      </c>
      <c r="D281" t="s">
        <v>26</v>
      </c>
      <c r="E281" t="s">
        <v>59</v>
      </c>
      <c r="F281" t="s">
        <v>32</v>
      </c>
      <c r="G281">
        <v>2</v>
      </c>
      <c r="H281">
        <v>900</v>
      </c>
      <c r="I281">
        <v>400</v>
      </c>
      <c r="J281">
        <f t="shared" si="16"/>
        <v>1800</v>
      </c>
      <c r="K281">
        <f t="shared" si="17"/>
        <v>800</v>
      </c>
      <c r="L281">
        <f t="shared" si="18"/>
        <v>1000</v>
      </c>
      <c r="M281" s="9">
        <f t="shared" si="19"/>
        <v>0.55555555555555558</v>
      </c>
    </row>
    <row r="282" spans="1:13" x14ac:dyDescent="0.25">
      <c r="A282" t="s">
        <v>314</v>
      </c>
      <c r="B282" s="1">
        <v>45860</v>
      </c>
      <c r="C282" t="s">
        <v>15</v>
      </c>
      <c r="D282" t="s">
        <v>16</v>
      </c>
      <c r="E282" t="s">
        <v>78</v>
      </c>
      <c r="F282" t="s">
        <v>23</v>
      </c>
      <c r="G282">
        <v>3</v>
      </c>
      <c r="H282">
        <v>65000</v>
      </c>
      <c r="I282">
        <v>52000</v>
      </c>
      <c r="J282">
        <f t="shared" si="16"/>
        <v>195000</v>
      </c>
      <c r="K282">
        <f t="shared" si="17"/>
        <v>156000</v>
      </c>
      <c r="L282">
        <f t="shared" si="18"/>
        <v>39000</v>
      </c>
      <c r="M282" s="9">
        <f t="shared" si="19"/>
        <v>0.2</v>
      </c>
    </row>
    <row r="283" spans="1:13" x14ac:dyDescent="0.25">
      <c r="A283" t="s">
        <v>315</v>
      </c>
      <c r="B283" s="1">
        <v>45860</v>
      </c>
      <c r="C283" t="s">
        <v>25</v>
      </c>
      <c r="D283" t="s">
        <v>21</v>
      </c>
      <c r="E283" t="s">
        <v>78</v>
      </c>
      <c r="F283" t="s">
        <v>23</v>
      </c>
      <c r="G283">
        <v>6</v>
      </c>
      <c r="H283">
        <v>65000</v>
      </c>
      <c r="I283">
        <v>52000</v>
      </c>
      <c r="J283">
        <f t="shared" si="16"/>
        <v>390000</v>
      </c>
      <c r="K283">
        <f t="shared" si="17"/>
        <v>312000</v>
      </c>
      <c r="L283">
        <f t="shared" si="18"/>
        <v>78000</v>
      </c>
      <c r="M283" s="9">
        <f t="shared" si="19"/>
        <v>0.2</v>
      </c>
    </row>
    <row r="284" spans="1:13" x14ac:dyDescent="0.25">
      <c r="A284" t="s">
        <v>316</v>
      </c>
      <c r="B284" s="1">
        <v>45860</v>
      </c>
      <c r="C284" t="s">
        <v>15</v>
      </c>
      <c r="D284" t="s">
        <v>29</v>
      </c>
      <c r="E284" t="s">
        <v>50</v>
      </c>
      <c r="F284" t="s">
        <v>18</v>
      </c>
      <c r="G284">
        <v>1</v>
      </c>
      <c r="H284">
        <v>24000</v>
      </c>
      <c r="I284">
        <v>18500</v>
      </c>
      <c r="J284">
        <f t="shared" si="16"/>
        <v>24000</v>
      </c>
      <c r="K284">
        <f t="shared" si="17"/>
        <v>18500</v>
      </c>
      <c r="L284">
        <f t="shared" si="18"/>
        <v>5500</v>
      </c>
      <c r="M284" s="9">
        <f t="shared" si="19"/>
        <v>0.22916666666666666</v>
      </c>
    </row>
    <row r="285" spans="1:13" x14ac:dyDescent="0.25">
      <c r="A285" t="s">
        <v>317</v>
      </c>
      <c r="B285" s="1">
        <v>45860</v>
      </c>
      <c r="C285" t="s">
        <v>10</v>
      </c>
      <c r="D285" t="s">
        <v>26</v>
      </c>
      <c r="E285" t="s">
        <v>17</v>
      </c>
      <c r="F285" t="s">
        <v>18</v>
      </c>
      <c r="G285">
        <v>5</v>
      </c>
      <c r="H285">
        <v>450</v>
      </c>
      <c r="I285">
        <v>230</v>
      </c>
      <c r="J285">
        <f t="shared" si="16"/>
        <v>2250</v>
      </c>
      <c r="K285">
        <f t="shared" si="17"/>
        <v>1150</v>
      </c>
      <c r="L285">
        <f t="shared" si="18"/>
        <v>1100</v>
      </c>
      <c r="M285" s="9">
        <f t="shared" si="19"/>
        <v>0.48888888888888887</v>
      </c>
    </row>
    <row r="286" spans="1:13" x14ac:dyDescent="0.25">
      <c r="A286" t="s">
        <v>318</v>
      </c>
      <c r="B286" s="1">
        <v>45861</v>
      </c>
      <c r="C286" t="s">
        <v>20</v>
      </c>
      <c r="D286" t="s">
        <v>37</v>
      </c>
      <c r="E286" t="s">
        <v>12</v>
      </c>
      <c r="F286" t="s">
        <v>13</v>
      </c>
      <c r="G286">
        <v>5</v>
      </c>
      <c r="H286">
        <v>22000</v>
      </c>
      <c r="I286">
        <v>15500</v>
      </c>
      <c r="J286">
        <f t="shared" si="16"/>
        <v>110000</v>
      </c>
      <c r="K286">
        <f t="shared" si="17"/>
        <v>77500</v>
      </c>
      <c r="L286">
        <f t="shared" si="18"/>
        <v>32500</v>
      </c>
      <c r="M286" s="9">
        <f t="shared" si="19"/>
        <v>0.29545454545454547</v>
      </c>
    </row>
    <row r="287" spans="1:13" x14ac:dyDescent="0.25">
      <c r="A287" t="s">
        <v>319</v>
      </c>
      <c r="B287" s="1">
        <v>45862</v>
      </c>
      <c r="C287" t="s">
        <v>25</v>
      </c>
      <c r="D287" t="s">
        <v>37</v>
      </c>
      <c r="E287" t="s">
        <v>31</v>
      </c>
      <c r="F287" t="s">
        <v>32</v>
      </c>
      <c r="G287">
        <v>8</v>
      </c>
      <c r="H287">
        <v>1320</v>
      </c>
      <c r="I287">
        <v>550</v>
      </c>
      <c r="J287">
        <f t="shared" si="16"/>
        <v>10560</v>
      </c>
      <c r="K287">
        <f t="shared" si="17"/>
        <v>4400</v>
      </c>
      <c r="L287">
        <f t="shared" si="18"/>
        <v>6160</v>
      </c>
      <c r="M287" s="9">
        <f t="shared" si="19"/>
        <v>0.58333333333333337</v>
      </c>
    </row>
    <row r="288" spans="1:13" x14ac:dyDescent="0.25">
      <c r="A288" t="s">
        <v>320</v>
      </c>
      <c r="B288" s="1">
        <v>45864</v>
      </c>
      <c r="C288" t="s">
        <v>20</v>
      </c>
      <c r="D288" t="s">
        <v>37</v>
      </c>
      <c r="E288" t="s">
        <v>59</v>
      </c>
      <c r="F288" t="s">
        <v>32</v>
      </c>
      <c r="G288">
        <v>7</v>
      </c>
      <c r="H288">
        <v>900</v>
      </c>
      <c r="I288">
        <v>400</v>
      </c>
      <c r="J288">
        <f t="shared" si="16"/>
        <v>6300</v>
      </c>
      <c r="K288">
        <f t="shared" si="17"/>
        <v>2800</v>
      </c>
      <c r="L288">
        <f t="shared" si="18"/>
        <v>3500</v>
      </c>
      <c r="M288" s="9">
        <f t="shared" si="19"/>
        <v>0.55555555555555558</v>
      </c>
    </row>
    <row r="289" spans="1:13" x14ac:dyDescent="0.25">
      <c r="A289" t="s">
        <v>321</v>
      </c>
      <c r="B289" s="1">
        <v>45864</v>
      </c>
      <c r="C289" t="s">
        <v>39</v>
      </c>
      <c r="D289" t="s">
        <v>37</v>
      </c>
      <c r="E289" t="s">
        <v>35</v>
      </c>
      <c r="F289" t="s">
        <v>32</v>
      </c>
      <c r="G289">
        <v>1</v>
      </c>
      <c r="H289">
        <v>2500</v>
      </c>
      <c r="I289">
        <v>1300</v>
      </c>
      <c r="J289">
        <f t="shared" si="16"/>
        <v>2500</v>
      </c>
      <c r="K289">
        <f t="shared" si="17"/>
        <v>1300</v>
      </c>
      <c r="L289">
        <f t="shared" si="18"/>
        <v>1200</v>
      </c>
      <c r="M289" s="9">
        <f t="shared" si="19"/>
        <v>0.48</v>
      </c>
    </row>
    <row r="290" spans="1:13" x14ac:dyDescent="0.25">
      <c r="A290" t="s">
        <v>322</v>
      </c>
      <c r="B290" s="1">
        <v>45864</v>
      </c>
      <c r="C290" t="s">
        <v>25</v>
      </c>
      <c r="D290" t="s">
        <v>29</v>
      </c>
      <c r="E290" t="s">
        <v>35</v>
      </c>
      <c r="F290" t="s">
        <v>32</v>
      </c>
      <c r="G290">
        <v>2</v>
      </c>
      <c r="H290">
        <v>2500</v>
      </c>
      <c r="I290">
        <v>1300</v>
      </c>
      <c r="J290">
        <f t="shared" si="16"/>
        <v>5000</v>
      </c>
      <c r="K290">
        <f t="shared" si="17"/>
        <v>2600</v>
      </c>
      <c r="L290">
        <f t="shared" si="18"/>
        <v>2400</v>
      </c>
      <c r="M290" s="9">
        <f t="shared" si="19"/>
        <v>0.48</v>
      </c>
    </row>
    <row r="291" spans="1:13" x14ac:dyDescent="0.25">
      <c r="A291" t="s">
        <v>323</v>
      </c>
      <c r="B291" s="1">
        <v>45865</v>
      </c>
      <c r="C291" t="s">
        <v>15</v>
      </c>
      <c r="D291" t="s">
        <v>11</v>
      </c>
      <c r="E291" t="s">
        <v>31</v>
      </c>
      <c r="F291" t="s">
        <v>32</v>
      </c>
      <c r="G291">
        <v>7</v>
      </c>
      <c r="H291">
        <v>1200</v>
      </c>
      <c r="I291">
        <v>550</v>
      </c>
      <c r="J291">
        <f t="shared" si="16"/>
        <v>8400</v>
      </c>
      <c r="K291">
        <f t="shared" si="17"/>
        <v>3850</v>
      </c>
      <c r="L291">
        <f t="shared" si="18"/>
        <v>4550</v>
      </c>
      <c r="M291" s="9">
        <f t="shared" si="19"/>
        <v>0.54166666666666663</v>
      </c>
    </row>
    <row r="292" spans="1:13" x14ac:dyDescent="0.25">
      <c r="A292" t="s">
        <v>324</v>
      </c>
      <c r="B292" s="1">
        <v>45865</v>
      </c>
      <c r="C292" t="s">
        <v>10</v>
      </c>
      <c r="D292" t="s">
        <v>11</v>
      </c>
      <c r="E292" t="s">
        <v>27</v>
      </c>
      <c r="F292" t="s">
        <v>23</v>
      </c>
      <c r="G292">
        <v>5</v>
      </c>
      <c r="H292">
        <v>4725</v>
      </c>
      <c r="I292">
        <v>2800</v>
      </c>
      <c r="J292">
        <f t="shared" si="16"/>
        <v>23625</v>
      </c>
      <c r="K292">
        <f t="shared" si="17"/>
        <v>14000</v>
      </c>
      <c r="L292">
        <f t="shared" si="18"/>
        <v>9625</v>
      </c>
      <c r="M292" s="9">
        <f t="shared" si="19"/>
        <v>0.40740740740740738</v>
      </c>
    </row>
    <row r="293" spans="1:13" x14ac:dyDescent="0.25">
      <c r="A293" t="s">
        <v>325</v>
      </c>
      <c r="B293" s="1">
        <v>45866</v>
      </c>
      <c r="C293" t="s">
        <v>15</v>
      </c>
      <c r="D293" t="s">
        <v>26</v>
      </c>
      <c r="E293" t="s">
        <v>43</v>
      </c>
      <c r="F293" t="s">
        <v>13</v>
      </c>
      <c r="G293">
        <v>6</v>
      </c>
      <c r="H293">
        <v>12500</v>
      </c>
      <c r="I293">
        <v>8500</v>
      </c>
      <c r="J293">
        <f t="shared" si="16"/>
        <v>75000</v>
      </c>
      <c r="K293">
        <f t="shared" si="17"/>
        <v>51000</v>
      </c>
      <c r="L293">
        <f t="shared" si="18"/>
        <v>24000</v>
      </c>
      <c r="M293" s="9">
        <f t="shared" si="19"/>
        <v>0.32</v>
      </c>
    </row>
    <row r="294" spans="1:13" x14ac:dyDescent="0.25">
      <c r="A294" t="s">
        <v>326</v>
      </c>
      <c r="B294" s="1">
        <v>45867</v>
      </c>
      <c r="C294" t="s">
        <v>15</v>
      </c>
      <c r="D294" t="s">
        <v>21</v>
      </c>
      <c r="E294" t="s">
        <v>78</v>
      </c>
      <c r="F294" t="s">
        <v>23</v>
      </c>
      <c r="G294">
        <v>3</v>
      </c>
      <c r="H294">
        <v>68250</v>
      </c>
      <c r="I294">
        <v>52000</v>
      </c>
      <c r="J294">
        <f t="shared" si="16"/>
        <v>204750</v>
      </c>
      <c r="K294">
        <f t="shared" si="17"/>
        <v>156000</v>
      </c>
      <c r="L294">
        <f t="shared" si="18"/>
        <v>48750</v>
      </c>
      <c r="M294" s="9">
        <f t="shared" si="19"/>
        <v>0.23809523809523808</v>
      </c>
    </row>
    <row r="295" spans="1:13" x14ac:dyDescent="0.25">
      <c r="A295" t="s">
        <v>327</v>
      </c>
      <c r="B295" s="1">
        <v>45869</v>
      </c>
      <c r="C295" t="s">
        <v>20</v>
      </c>
      <c r="D295" t="s">
        <v>11</v>
      </c>
      <c r="E295" t="s">
        <v>31</v>
      </c>
      <c r="F295" t="s">
        <v>32</v>
      </c>
      <c r="G295">
        <v>7</v>
      </c>
      <c r="H295">
        <v>1080</v>
      </c>
      <c r="I295">
        <v>550</v>
      </c>
      <c r="J295">
        <f t="shared" si="16"/>
        <v>7560</v>
      </c>
      <c r="K295">
        <f t="shared" si="17"/>
        <v>3850</v>
      </c>
      <c r="L295">
        <f t="shared" si="18"/>
        <v>3710</v>
      </c>
      <c r="M295" s="9">
        <f t="shared" si="19"/>
        <v>0.49074074074074076</v>
      </c>
    </row>
    <row r="296" spans="1:13" x14ac:dyDescent="0.25">
      <c r="A296" t="s">
        <v>328</v>
      </c>
      <c r="B296" s="1">
        <v>45870</v>
      </c>
      <c r="C296" t="s">
        <v>10</v>
      </c>
      <c r="D296" t="s">
        <v>29</v>
      </c>
      <c r="E296" t="s">
        <v>31</v>
      </c>
      <c r="F296" t="s">
        <v>32</v>
      </c>
      <c r="G296">
        <v>1</v>
      </c>
      <c r="H296">
        <v>1260</v>
      </c>
      <c r="I296">
        <v>550</v>
      </c>
      <c r="J296">
        <f t="shared" si="16"/>
        <v>1260</v>
      </c>
      <c r="K296">
        <f t="shared" si="17"/>
        <v>550</v>
      </c>
      <c r="L296">
        <f t="shared" si="18"/>
        <v>710</v>
      </c>
      <c r="M296" s="9">
        <f t="shared" si="19"/>
        <v>0.56349206349206349</v>
      </c>
    </row>
    <row r="297" spans="1:13" x14ac:dyDescent="0.25">
      <c r="A297" t="s">
        <v>329</v>
      </c>
      <c r="B297" s="1">
        <v>45870</v>
      </c>
      <c r="C297" t="s">
        <v>15</v>
      </c>
      <c r="D297" t="s">
        <v>16</v>
      </c>
      <c r="E297" t="s">
        <v>31</v>
      </c>
      <c r="F297" t="s">
        <v>32</v>
      </c>
      <c r="G297">
        <v>1</v>
      </c>
      <c r="H297">
        <v>1200</v>
      </c>
      <c r="I297">
        <v>550</v>
      </c>
      <c r="J297">
        <f t="shared" si="16"/>
        <v>1200</v>
      </c>
      <c r="K297">
        <f t="shared" si="17"/>
        <v>550</v>
      </c>
      <c r="L297">
        <f t="shared" si="18"/>
        <v>650</v>
      </c>
      <c r="M297" s="9">
        <f t="shared" si="19"/>
        <v>0.54166666666666663</v>
      </c>
    </row>
    <row r="298" spans="1:13" x14ac:dyDescent="0.25">
      <c r="A298" t="s">
        <v>330</v>
      </c>
      <c r="B298" s="1">
        <v>45871</v>
      </c>
      <c r="C298" t="s">
        <v>25</v>
      </c>
      <c r="D298" t="s">
        <v>37</v>
      </c>
      <c r="E298" t="s">
        <v>35</v>
      </c>
      <c r="F298" t="s">
        <v>32</v>
      </c>
      <c r="G298">
        <v>2</v>
      </c>
      <c r="H298">
        <v>2500</v>
      </c>
      <c r="I298">
        <v>1300</v>
      </c>
      <c r="J298">
        <f t="shared" si="16"/>
        <v>5000</v>
      </c>
      <c r="K298">
        <f t="shared" si="17"/>
        <v>2600</v>
      </c>
      <c r="L298">
        <f t="shared" si="18"/>
        <v>2400</v>
      </c>
      <c r="M298" s="9">
        <f t="shared" si="19"/>
        <v>0.48</v>
      </c>
    </row>
    <row r="299" spans="1:13" x14ac:dyDescent="0.25">
      <c r="A299" t="s">
        <v>331</v>
      </c>
      <c r="B299" s="1">
        <v>45872</v>
      </c>
      <c r="C299" t="s">
        <v>25</v>
      </c>
      <c r="D299" t="s">
        <v>29</v>
      </c>
      <c r="E299" t="s">
        <v>31</v>
      </c>
      <c r="F299" t="s">
        <v>32</v>
      </c>
      <c r="G299">
        <v>7</v>
      </c>
      <c r="H299">
        <v>1200</v>
      </c>
      <c r="I299">
        <v>550</v>
      </c>
      <c r="J299">
        <f t="shared" si="16"/>
        <v>8400</v>
      </c>
      <c r="K299">
        <f t="shared" si="17"/>
        <v>3850</v>
      </c>
      <c r="L299">
        <f t="shared" si="18"/>
        <v>4550</v>
      </c>
      <c r="M299" s="9">
        <f t="shared" si="19"/>
        <v>0.54166666666666663</v>
      </c>
    </row>
    <row r="300" spans="1:13" x14ac:dyDescent="0.25">
      <c r="A300" t="s">
        <v>332</v>
      </c>
      <c r="B300" s="1">
        <v>45873</v>
      </c>
      <c r="C300" t="s">
        <v>15</v>
      </c>
      <c r="D300" t="s">
        <v>37</v>
      </c>
      <c r="E300" t="s">
        <v>31</v>
      </c>
      <c r="F300" t="s">
        <v>32</v>
      </c>
      <c r="G300">
        <v>7</v>
      </c>
      <c r="H300">
        <v>1200</v>
      </c>
      <c r="I300">
        <v>550</v>
      </c>
      <c r="J300">
        <f t="shared" si="16"/>
        <v>8400</v>
      </c>
      <c r="K300">
        <f t="shared" si="17"/>
        <v>3850</v>
      </c>
      <c r="L300">
        <f t="shared" si="18"/>
        <v>4550</v>
      </c>
      <c r="M300" s="9">
        <f t="shared" si="19"/>
        <v>0.54166666666666663</v>
      </c>
    </row>
    <row r="301" spans="1:13" x14ac:dyDescent="0.25">
      <c r="A301" t="s">
        <v>333</v>
      </c>
      <c r="B301" s="1">
        <v>45875</v>
      </c>
      <c r="C301" t="s">
        <v>15</v>
      </c>
      <c r="D301" t="s">
        <v>29</v>
      </c>
      <c r="E301" t="s">
        <v>22</v>
      </c>
      <c r="F301" t="s">
        <v>23</v>
      </c>
      <c r="G301">
        <v>7</v>
      </c>
      <c r="H301">
        <v>18000</v>
      </c>
      <c r="I301">
        <v>13500</v>
      </c>
      <c r="J301">
        <f t="shared" si="16"/>
        <v>126000</v>
      </c>
      <c r="K301">
        <f t="shared" si="17"/>
        <v>94500</v>
      </c>
      <c r="L301">
        <f t="shared" si="18"/>
        <v>31500</v>
      </c>
      <c r="M301" s="9">
        <f t="shared" si="19"/>
        <v>0.25</v>
      </c>
    </row>
    <row r="302" spans="1:13" x14ac:dyDescent="0.25">
      <c r="A302" t="s">
        <v>334</v>
      </c>
      <c r="B302" s="1">
        <v>45875</v>
      </c>
      <c r="C302" t="s">
        <v>25</v>
      </c>
      <c r="D302" t="s">
        <v>16</v>
      </c>
      <c r="E302" t="s">
        <v>43</v>
      </c>
      <c r="F302" t="s">
        <v>13</v>
      </c>
      <c r="G302">
        <v>8</v>
      </c>
      <c r="H302">
        <v>12500</v>
      </c>
      <c r="I302">
        <v>8500</v>
      </c>
      <c r="J302">
        <f t="shared" si="16"/>
        <v>100000</v>
      </c>
      <c r="K302">
        <f t="shared" si="17"/>
        <v>68000</v>
      </c>
      <c r="L302">
        <f t="shared" si="18"/>
        <v>32000</v>
      </c>
      <c r="M302" s="9">
        <f t="shared" si="19"/>
        <v>0.32</v>
      </c>
    </row>
    <row r="303" spans="1:13" x14ac:dyDescent="0.25">
      <c r="A303" t="s">
        <v>335</v>
      </c>
      <c r="B303" s="1">
        <v>45876</v>
      </c>
      <c r="C303" t="s">
        <v>15</v>
      </c>
      <c r="D303" t="s">
        <v>37</v>
      </c>
      <c r="E303" t="s">
        <v>43</v>
      </c>
      <c r="F303" t="s">
        <v>13</v>
      </c>
      <c r="G303">
        <v>6</v>
      </c>
      <c r="H303">
        <v>12500</v>
      </c>
      <c r="I303">
        <v>8500</v>
      </c>
      <c r="J303">
        <f t="shared" si="16"/>
        <v>75000</v>
      </c>
      <c r="K303">
        <f t="shared" si="17"/>
        <v>51000</v>
      </c>
      <c r="L303">
        <f t="shared" si="18"/>
        <v>24000</v>
      </c>
      <c r="M303" s="9">
        <f t="shared" si="19"/>
        <v>0.32</v>
      </c>
    </row>
    <row r="304" spans="1:13" x14ac:dyDescent="0.25">
      <c r="A304" t="s">
        <v>336</v>
      </c>
      <c r="B304" s="1">
        <v>45878</v>
      </c>
      <c r="C304" t="s">
        <v>15</v>
      </c>
      <c r="D304" t="s">
        <v>29</v>
      </c>
      <c r="E304" t="s">
        <v>31</v>
      </c>
      <c r="F304" t="s">
        <v>32</v>
      </c>
      <c r="G304">
        <v>3</v>
      </c>
      <c r="H304">
        <v>1260</v>
      </c>
      <c r="I304">
        <v>550</v>
      </c>
      <c r="J304">
        <f t="shared" si="16"/>
        <v>3780</v>
      </c>
      <c r="K304">
        <f t="shared" si="17"/>
        <v>1650</v>
      </c>
      <c r="L304">
        <f t="shared" si="18"/>
        <v>2130</v>
      </c>
      <c r="M304" s="9">
        <f t="shared" si="19"/>
        <v>0.56349206349206349</v>
      </c>
    </row>
    <row r="305" spans="1:13" x14ac:dyDescent="0.25">
      <c r="A305" t="s">
        <v>337</v>
      </c>
      <c r="B305" s="1">
        <v>45878</v>
      </c>
      <c r="C305" t="s">
        <v>15</v>
      </c>
      <c r="D305" t="s">
        <v>26</v>
      </c>
      <c r="E305" t="s">
        <v>78</v>
      </c>
      <c r="F305" t="s">
        <v>23</v>
      </c>
      <c r="G305">
        <v>6</v>
      </c>
      <c r="H305">
        <v>58500</v>
      </c>
      <c r="I305">
        <v>52000</v>
      </c>
      <c r="J305">
        <f t="shared" si="16"/>
        <v>351000</v>
      </c>
      <c r="K305">
        <f t="shared" si="17"/>
        <v>312000</v>
      </c>
      <c r="L305">
        <f t="shared" si="18"/>
        <v>39000</v>
      </c>
      <c r="M305" s="9">
        <f t="shared" si="19"/>
        <v>0.1111111111111111</v>
      </c>
    </row>
    <row r="306" spans="1:13" x14ac:dyDescent="0.25">
      <c r="A306" t="s">
        <v>338</v>
      </c>
      <c r="B306" s="1">
        <v>45879</v>
      </c>
      <c r="C306" t="s">
        <v>15</v>
      </c>
      <c r="D306" t="s">
        <v>26</v>
      </c>
      <c r="E306" t="s">
        <v>17</v>
      </c>
      <c r="F306" t="s">
        <v>18</v>
      </c>
      <c r="G306">
        <v>4</v>
      </c>
      <c r="H306">
        <v>450</v>
      </c>
      <c r="I306">
        <v>230</v>
      </c>
      <c r="J306">
        <f t="shared" si="16"/>
        <v>1800</v>
      </c>
      <c r="K306">
        <f t="shared" si="17"/>
        <v>920</v>
      </c>
      <c r="L306">
        <f t="shared" si="18"/>
        <v>880</v>
      </c>
      <c r="M306" s="9">
        <f t="shared" si="19"/>
        <v>0.48888888888888887</v>
      </c>
    </row>
    <row r="307" spans="1:13" x14ac:dyDescent="0.25">
      <c r="A307" t="s">
        <v>339</v>
      </c>
      <c r="B307" s="1">
        <v>45879</v>
      </c>
      <c r="C307" t="s">
        <v>39</v>
      </c>
      <c r="D307" t="s">
        <v>26</v>
      </c>
      <c r="E307" t="s">
        <v>78</v>
      </c>
      <c r="F307" t="s">
        <v>23</v>
      </c>
      <c r="G307">
        <v>8</v>
      </c>
      <c r="H307">
        <v>68250</v>
      </c>
      <c r="I307">
        <v>52000</v>
      </c>
      <c r="J307">
        <f t="shared" si="16"/>
        <v>546000</v>
      </c>
      <c r="K307">
        <f t="shared" si="17"/>
        <v>416000</v>
      </c>
      <c r="L307">
        <f t="shared" si="18"/>
        <v>130000</v>
      </c>
      <c r="M307" s="9">
        <f t="shared" si="19"/>
        <v>0.23809523809523808</v>
      </c>
    </row>
    <row r="308" spans="1:13" x14ac:dyDescent="0.25">
      <c r="A308" t="s">
        <v>340</v>
      </c>
      <c r="B308" s="1">
        <v>45881</v>
      </c>
      <c r="C308" t="s">
        <v>10</v>
      </c>
      <c r="D308" t="s">
        <v>11</v>
      </c>
      <c r="E308" t="s">
        <v>78</v>
      </c>
      <c r="F308" t="s">
        <v>23</v>
      </c>
      <c r="G308">
        <v>5</v>
      </c>
      <c r="H308">
        <v>65000</v>
      </c>
      <c r="I308">
        <v>52000</v>
      </c>
      <c r="J308">
        <f t="shared" si="16"/>
        <v>325000</v>
      </c>
      <c r="K308">
        <f t="shared" si="17"/>
        <v>260000</v>
      </c>
      <c r="L308">
        <f t="shared" si="18"/>
        <v>65000</v>
      </c>
      <c r="M308" s="9">
        <f t="shared" si="19"/>
        <v>0.2</v>
      </c>
    </row>
    <row r="309" spans="1:13" x14ac:dyDescent="0.25">
      <c r="A309" t="s">
        <v>341</v>
      </c>
      <c r="B309" s="1">
        <v>45882</v>
      </c>
      <c r="C309" t="s">
        <v>15</v>
      </c>
      <c r="D309" t="s">
        <v>26</v>
      </c>
      <c r="E309" t="s">
        <v>59</v>
      </c>
      <c r="F309" t="s">
        <v>32</v>
      </c>
      <c r="G309">
        <v>2</v>
      </c>
      <c r="H309">
        <v>945</v>
      </c>
      <c r="I309">
        <v>400</v>
      </c>
      <c r="J309">
        <f t="shared" si="16"/>
        <v>1890</v>
      </c>
      <c r="K309">
        <f t="shared" si="17"/>
        <v>800</v>
      </c>
      <c r="L309">
        <f t="shared" si="18"/>
        <v>1090</v>
      </c>
      <c r="M309" s="9">
        <f t="shared" si="19"/>
        <v>0.57671957671957674</v>
      </c>
    </row>
    <row r="310" spans="1:13" x14ac:dyDescent="0.25">
      <c r="A310" t="s">
        <v>342</v>
      </c>
      <c r="B310" s="1">
        <v>45884</v>
      </c>
      <c r="C310" t="s">
        <v>25</v>
      </c>
      <c r="D310" t="s">
        <v>21</v>
      </c>
      <c r="E310" t="s">
        <v>27</v>
      </c>
      <c r="F310" t="s">
        <v>23</v>
      </c>
      <c r="G310">
        <v>8</v>
      </c>
      <c r="H310">
        <v>4500</v>
      </c>
      <c r="I310">
        <v>2800</v>
      </c>
      <c r="J310">
        <f t="shared" si="16"/>
        <v>36000</v>
      </c>
      <c r="K310">
        <f t="shared" si="17"/>
        <v>22400</v>
      </c>
      <c r="L310">
        <f t="shared" si="18"/>
        <v>13600</v>
      </c>
      <c r="M310" s="9">
        <f t="shared" si="19"/>
        <v>0.37777777777777777</v>
      </c>
    </row>
    <row r="311" spans="1:13" x14ac:dyDescent="0.25">
      <c r="A311" t="s">
        <v>343</v>
      </c>
      <c r="B311" s="1">
        <v>45886</v>
      </c>
      <c r="C311" t="s">
        <v>25</v>
      </c>
      <c r="D311" t="s">
        <v>26</v>
      </c>
      <c r="E311" t="s">
        <v>12</v>
      </c>
      <c r="F311" t="s">
        <v>13</v>
      </c>
      <c r="G311">
        <v>3</v>
      </c>
      <c r="H311">
        <v>22000</v>
      </c>
      <c r="I311">
        <v>15500</v>
      </c>
      <c r="J311">
        <f t="shared" si="16"/>
        <v>66000</v>
      </c>
      <c r="K311">
        <f t="shared" si="17"/>
        <v>46500</v>
      </c>
      <c r="L311">
        <f t="shared" si="18"/>
        <v>19500</v>
      </c>
      <c r="M311" s="9">
        <f t="shared" si="19"/>
        <v>0.29545454545454547</v>
      </c>
    </row>
    <row r="312" spans="1:13" x14ac:dyDescent="0.25">
      <c r="A312" t="s">
        <v>344</v>
      </c>
      <c r="B312" s="1">
        <v>45887</v>
      </c>
      <c r="C312" t="s">
        <v>15</v>
      </c>
      <c r="D312" t="s">
        <v>26</v>
      </c>
      <c r="E312" t="s">
        <v>31</v>
      </c>
      <c r="F312" t="s">
        <v>32</v>
      </c>
      <c r="G312">
        <v>7</v>
      </c>
      <c r="H312">
        <v>1320</v>
      </c>
      <c r="I312">
        <v>550</v>
      </c>
      <c r="J312">
        <f t="shared" si="16"/>
        <v>9240</v>
      </c>
      <c r="K312">
        <f t="shared" si="17"/>
        <v>3850</v>
      </c>
      <c r="L312">
        <f t="shared" si="18"/>
        <v>5390</v>
      </c>
      <c r="M312" s="9">
        <f t="shared" si="19"/>
        <v>0.58333333333333337</v>
      </c>
    </row>
    <row r="313" spans="1:13" x14ac:dyDescent="0.25">
      <c r="A313" t="s">
        <v>345</v>
      </c>
      <c r="B313" s="1">
        <v>45887</v>
      </c>
      <c r="C313" t="s">
        <v>15</v>
      </c>
      <c r="D313" t="s">
        <v>26</v>
      </c>
      <c r="E313" t="s">
        <v>22</v>
      </c>
      <c r="F313" t="s">
        <v>23</v>
      </c>
      <c r="G313">
        <v>1</v>
      </c>
      <c r="H313">
        <v>18000</v>
      </c>
      <c r="I313">
        <v>13500</v>
      </c>
      <c r="J313">
        <f t="shared" si="16"/>
        <v>18000</v>
      </c>
      <c r="K313">
        <f t="shared" si="17"/>
        <v>13500</v>
      </c>
      <c r="L313">
        <f t="shared" si="18"/>
        <v>4500</v>
      </c>
      <c r="M313" s="9">
        <f t="shared" si="19"/>
        <v>0.25</v>
      </c>
    </row>
    <row r="314" spans="1:13" x14ac:dyDescent="0.25">
      <c r="A314" t="s">
        <v>346</v>
      </c>
      <c r="B314" s="1">
        <v>45888</v>
      </c>
      <c r="C314" t="s">
        <v>10</v>
      </c>
      <c r="D314" t="s">
        <v>16</v>
      </c>
      <c r="E314" t="s">
        <v>35</v>
      </c>
      <c r="F314" t="s">
        <v>32</v>
      </c>
      <c r="G314">
        <v>7</v>
      </c>
      <c r="H314">
        <v>2500</v>
      </c>
      <c r="I314">
        <v>1300</v>
      </c>
      <c r="J314">
        <f t="shared" si="16"/>
        <v>17500</v>
      </c>
      <c r="K314">
        <f t="shared" si="17"/>
        <v>9100</v>
      </c>
      <c r="L314">
        <f t="shared" si="18"/>
        <v>8400</v>
      </c>
      <c r="M314" s="9">
        <f t="shared" si="19"/>
        <v>0.48</v>
      </c>
    </row>
    <row r="315" spans="1:13" x14ac:dyDescent="0.25">
      <c r="A315" t="s">
        <v>347</v>
      </c>
      <c r="B315" s="1">
        <v>45888</v>
      </c>
      <c r="C315" t="s">
        <v>39</v>
      </c>
      <c r="D315" t="s">
        <v>29</v>
      </c>
      <c r="E315" t="s">
        <v>31</v>
      </c>
      <c r="F315" t="s">
        <v>32</v>
      </c>
      <c r="G315">
        <v>5</v>
      </c>
      <c r="H315">
        <v>1200</v>
      </c>
      <c r="I315">
        <v>550</v>
      </c>
      <c r="J315">
        <f t="shared" si="16"/>
        <v>6000</v>
      </c>
      <c r="K315">
        <f t="shared" si="17"/>
        <v>2750</v>
      </c>
      <c r="L315">
        <f t="shared" si="18"/>
        <v>3250</v>
      </c>
      <c r="M315" s="9">
        <f t="shared" si="19"/>
        <v>0.54166666666666663</v>
      </c>
    </row>
    <row r="316" spans="1:13" x14ac:dyDescent="0.25">
      <c r="A316" t="s">
        <v>348</v>
      </c>
      <c r="B316" s="1">
        <v>45889</v>
      </c>
      <c r="C316" t="s">
        <v>25</v>
      </c>
      <c r="D316" t="s">
        <v>11</v>
      </c>
      <c r="E316" t="s">
        <v>35</v>
      </c>
      <c r="F316" t="s">
        <v>32</v>
      </c>
      <c r="G316">
        <v>7</v>
      </c>
      <c r="H316">
        <v>2500</v>
      </c>
      <c r="I316">
        <v>1300</v>
      </c>
      <c r="J316">
        <f t="shared" si="16"/>
        <v>17500</v>
      </c>
      <c r="K316">
        <f t="shared" si="17"/>
        <v>9100</v>
      </c>
      <c r="L316">
        <f t="shared" si="18"/>
        <v>8400</v>
      </c>
      <c r="M316" s="9">
        <f t="shared" si="19"/>
        <v>0.48</v>
      </c>
    </row>
    <row r="317" spans="1:13" x14ac:dyDescent="0.25">
      <c r="A317" t="s">
        <v>349</v>
      </c>
      <c r="B317" s="1">
        <v>45889</v>
      </c>
      <c r="C317" t="s">
        <v>15</v>
      </c>
      <c r="D317" t="s">
        <v>16</v>
      </c>
      <c r="E317" t="s">
        <v>78</v>
      </c>
      <c r="F317" t="s">
        <v>23</v>
      </c>
      <c r="G317">
        <v>8</v>
      </c>
      <c r="H317">
        <v>65000</v>
      </c>
      <c r="I317">
        <v>52000</v>
      </c>
      <c r="J317">
        <f t="shared" si="16"/>
        <v>520000</v>
      </c>
      <c r="K317">
        <f t="shared" si="17"/>
        <v>416000</v>
      </c>
      <c r="L317">
        <f t="shared" si="18"/>
        <v>104000</v>
      </c>
      <c r="M317" s="9">
        <f t="shared" si="19"/>
        <v>0.2</v>
      </c>
    </row>
    <row r="318" spans="1:13" x14ac:dyDescent="0.25">
      <c r="A318" t="s">
        <v>350</v>
      </c>
      <c r="B318" s="1">
        <v>45889</v>
      </c>
      <c r="C318" t="s">
        <v>20</v>
      </c>
      <c r="D318" t="s">
        <v>21</v>
      </c>
      <c r="E318" t="s">
        <v>22</v>
      </c>
      <c r="F318" t="s">
        <v>23</v>
      </c>
      <c r="G318">
        <v>7</v>
      </c>
      <c r="H318">
        <v>18000</v>
      </c>
      <c r="I318">
        <v>13500</v>
      </c>
      <c r="J318">
        <f t="shared" si="16"/>
        <v>126000</v>
      </c>
      <c r="K318">
        <f t="shared" si="17"/>
        <v>94500</v>
      </c>
      <c r="L318">
        <f t="shared" si="18"/>
        <v>31500</v>
      </c>
      <c r="M318" s="9">
        <f t="shared" si="19"/>
        <v>0.25</v>
      </c>
    </row>
    <row r="319" spans="1:13" x14ac:dyDescent="0.25">
      <c r="A319" t="s">
        <v>351</v>
      </c>
      <c r="B319" s="1">
        <v>45889</v>
      </c>
      <c r="C319" t="s">
        <v>15</v>
      </c>
      <c r="D319" t="s">
        <v>21</v>
      </c>
      <c r="E319" t="s">
        <v>35</v>
      </c>
      <c r="F319" t="s">
        <v>32</v>
      </c>
      <c r="G319">
        <v>2</v>
      </c>
      <c r="H319">
        <v>2500</v>
      </c>
      <c r="I319">
        <v>1300</v>
      </c>
      <c r="J319">
        <f t="shared" si="16"/>
        <v>5000</v>
      </c>
      <c r="K319">
        <f t="shared" si="17"/>
        <v>2600</v>
      </c>
      <c r="L319">
        <f t="shared" si="18"/>
        <v>2400</v>
      </c>
      <c r="M319" s="9">
        <f t="shared" si="19"/>
        <v>0.48</v>
      </c>
    </row>
    <row r="320" spans="1:13" x14ac:dyDescent="0.25">
      <c r="A320" t="s">
        <v>352</v>
      </c>
      <c r="B320" s="1">
        <v>45890</v>
      </c>
      <c r="C320" t="s">
        <v>39</v>
      </c>
      <c r="D320" t="s">
        <v>29</v>
      </c>
      <c r="E320" t="s">
        <v>78</v>
      </c>
      <c r="F320" t="s">
        <v>23</v>
      </c>
      <c r="G320">
        <v>8</v>
      </c>
      <c r="H320">
        <v>65000</v>
      </c>
      <c r="I320">
        <v>52000</v>
      </c>
      <c r="J320">
        <f t="shared" si="16"/>
        <v>520000</v>
      </c>
      <c r="K320">
        <f t="shared" si="17"/>
        <v>416000</v>
      </c>
      <c r="L320">
        <f t="shared" si="18"/>
        <v>104000</v>
      </c>
      <c r="M320" s="9">
        <f t="shared" si="19"/>
        <v>0.2</v>
      </c>
    </row>
    <row r="321" spans="1:13" x14ac:dyDescent="0.25">
      <c r="A321" t="s">
        <v>353</v>
      </c>
      <c r="B321" s="1">
        <v>45893</v>
      </c>
      <c r="C321" t="s">
        <v>25</v>
      </c>
      <c r="D321" t="s">
        <v>29</v>
      </c>
      <c r="E321" t="s">
        <v>12</v>
      </c>
      <c r="F321" t="s">
        <v>13</v>
      </c>
      <c r="G321">
        <v>2</v>
      </c>
      <c r="H321">
        <v>22000</v>
      </c>
      <c r="I321">
        <v>15500</v>
      </c>
      <c r="J321">
        <f t="shared" si="16"/>
        <v>44000</v>
      </c>
      <c r="K321">
        <f t="shared" si="17"/>
        <v>31000</v>
      </c>
      <c r="L321">
        <f t="shared" si="18"/>
        <v>13000</v>
      </c>
      <c r="M321" s="9">
        <f t="shared" si="19"/>
        <v>0.29545454545454547</v>
      </c>
    </row>
    <row r="322" spans="1:13" x14ac:dyDescent="0.25">
      <c r="A322" t="s">
        <v>354</v>
      </c>
      <c r="B322" s="1">
        <v>45895</v>
      </c>
      <c r="C322" t="s">
        <v>10</v>
      </c>
      <c r="D322" t="s">
        <v>37</v>
      </c>
      <c r="E322" t="s">
        <v>59</v>
      </c>
      <c r="F322" t="s">
        <v>32</v>
      </c>
      <c r="G322">
        <v>7</v>
      </c>
      <c r="H322">
        <v>900</v>
      </c>
      <c r="I322">
        <v>400</v>
      </c>
      <c r="J322">
        <f t="shared" ref="J322:J385" si="20">G322*H322</f>
        <v>6300</v>
      </c>
      <c r="K322">
        <f t="shared" ref="K322:K385" si="21">G322*I322</f>
        <v>2800</v>
      </c>
      <c r="L322">
        <f t="shared" ref="L322:L385" si="22">J322-K322</f>
        <v>3500</v>
      </c>
      <c r="M322" s="9">
        <f t="shared" si="19"/>
        <v>0.55555555555555558</v>
      </c>
    </row>
    <row r="323" spans="1:13" x14ac:dyDescent="0.25">
      <c r="A323" t="s">
        <v>355</v>
      </c>
      <c r="B323" s="1">
        <v>45896</v>
      </c>
      <c r="C323" t="s">
        <v>15</v>
      </c>
      <c r="D323" t="s">
        <v>26</v>
      </c>
      <c r="E323" t="s">
        <v>31</v>
      </c>
      <c r="F323" t="s">
        <v>32</v>
      </c>
      <c r="G323">
        <v>2</v>
      </c>
      <c r="H323">
        <v>1080</v>
      </c>
      <c r="I323">
        <v>550</v>
      </c>
      <c r="J323">
        <f t="shared" si="20"/>
        <v>2160</v>
      </c>
      <c r="K323">
        <f t="shared" si="21"/>
        <v>1100</v>
      </c>
      <c r="L323">
        <f t="shared" si="22"/>
        <v>1060</v>
      </c>
      <c r="M323" s="9">
        <f t="shared" ref="M323:M386" si="23">(J323-K323)/J323</f>
        <v>0.49074074074074076</v>
      </c>
    </row>
    <row r="324" spans="1:13" x14ac:dyDescent="0.25">
      <c r="A324" t="s">
        <v>356</v>
      </c>
      <c r="B324" s="1">
        <v>45896</v>
      </c>
      <c r="C324" t="s">
        <v>39</v>
      </c>
      <c r="D324" t="s">
        <v>37</v>
      </c>
      <c r="E324" t="s">
        <v>78</v>
      </c>
      <c r="F324" t="s">
        <v>23</v>
      </c>
      <c r="G324">
        <v>4</v>
      </c>
      <c r="H324">
        <v>65000</v>
      </c>
      <c r="I324">
        <v>52000</v>
      </c>
      <c r="J324">
        <f t="shared" si="20"/>
        <v>260000</v>
      </c>
      <c r="K324">
        <f t="shared" si="21"/>
        <v>208000</v>
      </c>
      <c r="L324">
        <f t="shared" si="22"/>
        <v>52000</v>
      </c>
      <c r="M324" s="9">
        <f t="shared" si="23"/>
        <v>0.2</v>
      </c>
    </row>
    <row r="325" spans="1:13" x14ac:dyDescent="0.25">
      <c r="A325" t="s">
        <v>357</v>
      </c>
      <c r="B325" s="1">
        <v>45898</v>
      </c>
      <c r="C325" t="s">
        <v>39</v>
      </c>
      <c r="D325" t="s">
        <v>29</v>
      </c>
      <c r="E325" t="s">
        <v>22</v>
      </c>
      <c r="F325" t="s">
        <v>23</v>
      </c>
      <c r="G325">
        <v>4</v>
      </c>
      <c r="H325">
        <v>18000</v>
      </c>
      <c r="I325">
        <v>13500</v>
      </c>
      <c r="J325">
        <f t="shared" si="20"/>
        <v>72000</v>
      </c>
      <c r="K325">
        <f t="shared" si="21"/>
        <v>54000</v>
      </c>
      <c r="L325">
        <f t="shared" si="22"/>
        <v>18000</v>
      </c>
      <c r="M325" s="9">
        <f t="shared" si="23"/>
        <v>0.25</v>
      </c>
    </row>
    <row r="326" spans="1:13" x14ac:dyDescent="0.25">
      <c r="A326" t="s">
        <v>358</v>
      </c>
      <c r="B326" s="1">
        <v>45899</v>
      </c>
      <c r="C326" t="s">
        <v>25</v>
      </c>
      <c r="D326" t="s">
        <v>16</v>
      </c>
      <c r="E326" t="s">
        <v>22</v>
      </c>
      <c r="F326" t="s">
        <v>23</v>
      </c>
      <c r="G326">
        <v>7</v>
      </c>
      <c r="H326">
        <v>18000</v>
      </c>
      <c r="I326">
        <v>13500</v>
      </c>
      <c r="J326">
        <f t="shared" si="20"/>
        <v>126000</v>
      </c>
      <c r="K326">
        <f t="shared" si="21"/>
        <v>94500</v>
      </c>
      <c r="L326">
        <f t="shared" si="22"/>
        <v>31500</v>
      </c>
      <c r="M326" s="9">
        <f t="shared" si="23"/>
        <v>0.25</v>
      </c>
    </row>
    <row r="327" spans="1:13" x14ac:dyDescent="0.25">
      <c r="A327" t="s">
        <v>359</v>
      </c>
      <c r="B327" s="1">
        <v>45899</v>
      </c>
      <c r="C327" t="s">
        <v>25</v>
      </c>
      <c r="D327" t="s">
        <v>21</v>
      </c>
      <c r="E327" t="s">
        <v>17</v>
      </c>
      <c r="F327" t="s">
        <v>18</v>
      </c>
      <c r="G327">
        <v>4</v>
      </c>
      <c r="H327">
        <v>495</v>
      </c>
      <c r="I327">
        <v>230</v>
      </c>
      <c r="J327">
        <f t="shared" si="20"/>
        <v>1980</v>
      </c>
      <c r="K327">
        <f t="shared" si="21"/>
        <v>920</v>
      </c>
      <c r="L327">
        <f t="shared" si="22"/>
        <v>1060</v>
      </c>
      <c r="M327" s="9">
        <f t="shared" si="23"/>
        <v>0.53535353535353536</v>
      </c>
    </row>
    <row r="328" spans="1:13" x14ac:dyDescent="0.25">
      <c r="A328" t="s">
        <v>360</v>
      </c>
      <c r="B328" s="1">
        <v>45899</v>
      </c>
      <c r="C328" t="s">
        <v>15</v>
      </c>
      <c r="D328" t="s">
        <v>11</v>
      </c>
      <c r="E328" t="s">
        <v>59</v>
      </c>
      <c r="F328" t="s">
        <v>32</v>
      </c>
      <c r="G328">
        <v>2</v>
      </c>
      <c r="H328">
        <v>945</v>
      </c>
      <c r="I328">
        <v>400</v>
      </c>
      <c r="J328">
        <f t="shared" si="20"/>
        <v>1890</v>
      </c>
      <c r="K328">
        <f t="shared" si="21"/>
        <v>800</v>
      </c>
      <c r="L328">
        <f t="shared" si="22"/>
        <v>1090</v>
      </c>
      <c r="M328" s="9">
        <f t="shared" si="23"/>
        <v>0.57671957671957674</v>
      </c>
    </row>
    <row r="329" spans="1:13" x14ac:dyDescent="0.25">
      <c r="A329" t="s">
        <v>361</v>
      </c>
      <c r="B329" s="1">
        <v>45899</v>
      </c>
      <c r="C329" t="s">
        <v>25</v>
      </c>
      <c r="D329" t="s">
        <v>37</v>
      </c>
      <c r="E329" t="s">
        <v>78</v>
      </c>
      <c r="F329" t="s">
        <v>23</v>
      </c>
      <c r="G329">
        <v>6</v>
      </c>
      <c r="H329">
        <v>65000</v>
      </c>
      <c r="I329">
        <v>52000</v>
      </c>
      <c r="J329">
        <f t="shared" si="20"/>
        <v>390000</v>
      </c>
      <c r="K329">
        <f t="shared" si="21"/>
        <v>312000</v>
      </c>
      <c r="L329">
        <f t="shared" si="22"/>
        <v>78000</v>
      </c>
      <c r="M329" s="9">
        <f t="shared" si="23"/>
        <v>0.2</v>
      </c>
    </row>
    <row r="330" spans="1:13" x14ac:dyDescent="0.25">
      <c r="A330" t="s">
        <v>362</v>
      </c>
      <c r="B330" s="1">
        <v>45900</v>
      </c>
      <c r="C330" t="s">
        <v>15</v>
      </c>
      <c r="D330" t="s">
        <v>26</v>
      </c>
      <c r="E330" t="s">
        <v>22</v>
      </c>
      <c r="F330" t="s">
        <v>23</v>
      </c>
      <c r="G330">
        <v>1</v>
      </c>
      <c r="H330">
        <v>16200</v>
      </c>
      <c r="I330">
        <v>13500</v>
      </c>
      <c r="J330">
        <f t="shared" si="20"/>
        <v>16200</v>
      </c>
      <c r="K330">
        <f t="shared" si="21"/>
        <v>13500</v>
      </c>
      <c r="L330">
        <f t="shared" si="22"/>
        <v>2700</v>
      </c>
      <c r="M330" s="9">
        <f t="shared" si="23"/>
        <v>0.16666666666666666</v>
      </c>
    </row>
    <row r="331" spans="1:13" x14ac:dyDescent="0.25">
      <c r="A331" t="s">
        <v>363</v>
      </c>
      <c r="B331" s="1">
        <v>45900</v>
      </c>
      <c r="C331" t="s">
        <v>20</v>
      </c>
      <c r="D331" t="s">
        <v>29</v>
      </c>
      <c r="E331" t="s">
        <v>59</v>
      </c>
      <c r="F331" t="s">
        <v>32</v>
      </c>
      <c r="G331">
        <v>4</v>
      </c>
      <c r="H331">
        <v>900</v>
      </c>
      <c r="I331">
        <v>400</v>
      </c>
      <c r="J331">
        <f t="shared" si="20"/>
        <v>3600</v>
      </c>
      <c r="K331">
        <f t="shared" si="21"/>
        <v>1600</v>
      </c>
      <c r="L331">
        <f t="shared" si="22"/>
        <v>2000</v>
      </c>
      <c r="M331" s="9">
        <f t="shared" si="23"/>
        <v>0.55555555555555558</v>
      </c>
    </row>
    <row r="332" spans="1:13" x14ac:dyDescent="0.25">
      <c r="A332" t="s">
        <v>364</v>
      </c>
      <c r="B332" s="1">
        <v>45900</v>
      </c>
      <c r="C332" t="s">
        <v>15</v>
      </c>
      <c r="D332" t="s">
        <v>16</v>
      </c>
      <c r="E332" t="s">
        <v>17</v>
      </c>
      <c r="F332" t="s">
        <v>18</v>
      </c>
      <c r="G332">
        <v>5</v>
      </c>
      <c r="H332">
        <v>450</v>
      </c>
      <c r="I332">
        <v>230</v>
      </c>
      <c r="J332">
        <f t="shared" si="20"/>
        <v>2250</v>
      </c>
      <c r="K332">
        <f t="shared" si="21"/>
        <v>1150</v>
      </c>
      <c r="L332">
        <f t="shared" si="22"/>
        <v>1100</v>
      </c>
      <c r="M332" s="9">
        <f t="shared" si="23"/>
        <v>0.48888888888888887</v>
      </c>
    </row>
    <row r="333" spans="1:13" x14ac:dyDescent="0.25">
      <c r="A333" t="s">
        <v>365</v>
      </c>
      <c r="B333" s="1">
        <v>45900</v>
      </c>
      <c r="C333" t="s">
        <v>15</v>
      </c>
      <c r="D333" t="s">
        <v>26</v>
      </c>
      <c r="E333" t="s">
        <v>31</v>
      </c>
      <c r="F333" t="s">
        <v>32</v>
      </c>
      <c r="G333">
        <v>7</v>
      </c>
      <c r="H333">
        <v>1260</v>
      </c>
      <c r="I333">
        <v>550</v>
      </c>
      <c r="J333">
        <f t="shared" si="20"/>
        <v>8820</v>
      </c>
      <c r="K333">
        <f t="shared" si="21"/>
        <v>3850</v>
      </c>
      <c r="L333">
        <f t="shared" si="22"/>
        <v>4970</v>
      </c>
      <c r="M333" s="9">
        <f t="shared" si="23"/>
        <v>0.56349206349206349</v>
      </c>
    </row>
    <row r="334" spans="1:13" x14ac:dyDescent="0.25">
      <c r="A334" t="s">
        <v>366</v>
      </c>
      <c r="B334" s="1">
        <v>45901</v>
      </c>
      <c r="C334" t="s">
        <v>39</v>
      </c>
      <c r="D334" t="s">
        <v>11</v>
      </c>
      <c r="E334" t="s">
        <v>78</v>
      </c>
      <c r="F334" t="s">
        <v>23</v>
      </c>
      <c r="G334">
        <v>7</v>
      </c>
      <c r="H334">
        <v>65000</v>
      </c>
      <c r="I334">
        <v>52000</v>
      </c>
      <c r="J334">
        <f t="shared" si="20"/>
        <v>455000</v>
      </c>
      <c r="K334">
        <f t="shared" si="21"/>
        <v>364000</v>
      </c>
      <c r="L334">
        <f t="shared" si="22"/>
        <v>91000</v>
      </c>
      <c r="M334" s="9">
        <f t="shared" si="23"/>
        <v>0.2</v>
      </c>
    </row>
    <row r="335" spans="1:13" x14ac:dyDescent="0.25">
      <c r="A335" t="s">
        <v>367</v>
      </c>
      <c r="B335" s="1">
        <v>45901</v>
      </c>
      <c r="C335" t="s">
        <v>15</v>
      </c>
      <c r="D335" t="s">
        <v>11</v>
      </c>
      <c r="E335" t="s">
        <v>78</v>
      </c>
      <c r="F335" t="s">
        <v>23</v>
      </c>
      <c r="G335">
        <v>8</v>
      </c>
      <c r="H335">
        <v>65000</v>
      </c>
      <c r="I335">
        <v>52000</v>
      </c>
      <c r="J335">
        <f t="shared" si="20"/>
        <v>520000</v>
      </c>
      <c r="K335">
        <f t="shared" si="21"/>
        <v>416000</v>
      </c>
      <c r="L335">
        <f t="shared" si="22"/>
        <v>104000</v>
      </c>
      <c r="M335" s="9">
        <f t="shared" si="23"/>
        <v>0.2</v>
      </c>
    </row>
    <row r="336" spans="1:13" x14ac:dyDescent="0.25">
      <c r="A336" t="s">
        <v>368</v>
      </c>
      <c r="B336" s="1">
        <v>45902</v>
      </c>
      <c r="C336" t="s">
        <v>15</v>
      </c>
      <c r="D336" t="s">
        <v>26</v>
      </c>
      <c r="E336" t="s">
        <v>50</v>
      </c>
      <c r="F336" t="s">
        <v>18</v>
      </c>
      <c r="G336">
        <v>3</v>
      </c>
      <c r="H336">
        <v>24000</v>
      </c>
      <c r="I336">
        <v>18500</v>
      </c>
      <c r="J336">
        <f t="shared" si="20"/>
        <v>72000</v>
      </c>
      <c r="K336">
        <f t="shared" si="21"/>
        <v>55500</v>
      </c>
      <c r="L336">
        <f t="shared" si="22"/>
        <v>16500</v>
      </c>
      <c r="M336" s="9">
        <f t="shared" si="23"/>
        <v>0.22916666666666666</v>
      </c>
    </row>
    <row r="337" spans="1:13" x14ac:dyDescent="0.25">
      <c r="A337" t="s">
        <v>369</v>
      </c>
      <c r="B337" s="1">
        <v>45902</v>
      </c>
      <c r="C337" t="s">
        <v>25</v>
      </c>
      <c r="D337" t="s">
        <v>21</v>
      </c>
      <c r="E337" t="s">
        <v>17</v>
      </c>
      <c r="F337" t="s">
        <v>18</v>
      </c>
      <c r="G337">
        <v>5</v>
      </c>
      <c r="H337">
        <v>450</v>
      </c>
      <c r="I337">
        <v>230</v>
      </c>
      <c r="J337">
        <f t="shared" si="20"/>
        <v>2250</v>
      </c>
      <c r="K337">
        <f t="shared" si="21"/>
        <v>1150</v>
      </c>
      <c r="L337">
        <f t="shared" si="22"/>
        <v>1100</v>
      </c>
      <c r="M337" s="9">
        <f t="shared" si="23"/>
        <v>0.48888888888888887</v>
      </c>
    </row>
    <row r="338" spans="1:13" x14ac:dyDescent="0.25">
      <c r="A338" t="s">
        <v>370</v>
      </c>
      <c r="B338" s="1">
        <v>45903</v>
      </c>
      <c r="C338" t="s">
        <v>20</v>
      </c>
      <c r="D338" t="s">
        <v>37</v>
      </c>
      <c r="E338" t="s">
        <v>31</v>
      </c>
      <c r="F338" t="s">
        <v>32</v>
      </c>
      <c r="G338">
        <v>4</v>
      </c>
      <c r="H338">
        <v>1260</v>
      </c>
      <c r="I338">
        <v>550</v>
      </c>
      <c r="J338">
        <f t="shared" si="20"/>
        <v>5040</v>
      </c>
      <c r="K338">
        <f t="shared" si="21"/>
        <v>2200</v>
      </c>
      <c r="L338">
        <f t="shared" si="22"/>
        <v>2840</v>
      </c>
      <c r="M338" s="9">
        <f t="shared" si="23"/>
        <v>0.56349206349206349</v>
      </c>
    </row>
    <row r="339" spans="1:13" x14ac:dyDescent="0.25">
      <c r="A339" t="s">
        <v>371</v>
      </c>
      <c r="B339" s="1">
        <v>45905</v>
      </c>
      <c r="C339" t="s">
        <v>15</v>
      </c>
      <c r="D339" t="s">
        <v>29</v>
      </c>
      <c r="E339" t="s">
        <v>22</v>
      </c>
      <c r="F339" t="s">
        <v>23</v>
      </c>
      <c r="G339">
        <v>6</v>
      </c>
      <c r="H339">
        <v>18000</v>
      </c>
      <c r="I339">
        <v>13500</v>
      </c>
      <c r="J339">
        <f t="shared" si="20"/>
        <v>108000</v>
      </c>
      <c r="K339">
        <f t="shared" si="21"/>
        <v>81000</v>
      </c>
      <c r="L339">
        <f t="shared" si="22"/>
        <v>27000</v>
      </c>
      <c r="M339" s="9">
        <f t="shared" si="23"/>
        <v>0.25</v>
      </c>
    </row>
    <row r="340" spans="1:13" x14ac:dyDescent="0.25">
      <c r="A340" t="s">
        <v>372</v>
      </c>
      <c r="B340" s="1">
        <v>45905</v>
      </c>
      <c r="C340" t="s">
        <v>25</v>
      </c>
      <c r="D340" t="s">
        <v>29</v>
      </c>
      <c r="E340" t="s">
        <v>78</v>
      </c>
      <c r="F340" t="s">
        <v>23</v>
      </c>
      <c r="G340">
        <v>5</v>
      </c>
      <c r="H340">
        <v>68250</v>
      </c>
      <c r="I340">
        <v>52000</v>
      </c>
      <c r="J340">
        <f t="shared" si="20"/>
        <v>341250</v>
      </c>
      <c r="K340">
        <f t="shared" si="21"/>
        <v>260000</v>
      </c>
      <c r="L340">
        <f t="shared" si="22"/>
        <v>81250</v>
      </c>
      <c r="M340" s="9">
        <f t="shared" si="23"/>
        <v>0.23809523809523808</v>
      </c>
    </row>
    <row r="341" spans="1:13" x14ac:dyDescent="0.25">
      <c r="A341" t="s">
        <v>373</v>
      </c>
      <c r="B341" s="1">
        <v>45905</v>
      </c>
      <c r="C341" t="s">
        <v>20</v>
      </c>
      <c r="D341" t="s">
        <v>29</v>
      </c>
      <c r="E341" t="s">
        <v>17</v>
      </c>
      <c r="F341" t="s">
        <v>18</v>
      </c>
      <c r="G341">
        <v>1</v>
      </c>
      <c r="H341">
        <v>450</v>
      </c>
      <c r="I341">
        <v>230</v>
      </c>
      <c r="J341">
        <f t="shared" si="20"/>
        <v>450</v>
      </c>
      <c r="K341">
        <f t="shared" si="21"/>
        <v>230</v>
      </c>
      <c r="L341">
        <f t="shared" si="22"/>
        <v>220</v>
      </c>
      <c r="M341" s="9">
        <f t="shared" si="23"/>
        <v>0.48888888888888887</v>
      </c>
    </row>
    <row r="342" spans="1:13" x14ac:dyDescent="0.25">
      <c r="A342" t="s">
        <v>374</v>
      </c>
      <c r="B342" s="1">
        <v>45907</v>
      </c>
      <c r="C342" t="s">
        <v>25</v>
      </c>
      <c r="D342" t="s">
        <v>29</v>
      </c>
      <c r="E342" t="s">
        <v>31</v>
      </c>
      <c r="F342" t="s">
        <v>32</v>
      </c>
      <c r="G342">
        <v>2</v>
      </c>
      <c r="H342">
        <v>1200</v>
      </c>
      <c r="I342">
        <v>550</v>
      </c>
      <c r="J342">
        <f t="shared" si="20"/>
        <v>2400</v>
      </c>
      <c r="K342">
        <f t="shared" si="21"/>
        <v>1100</v>
      </c>
      <c r="L342">
        <f t="shared" si="22"/>
        <v>1300</v>
      </c>
      <c r="M342" s="9">
        <f t="shared" si="23"/>
        <v>0.54166666666666663</v>
      </c>
    </row>
    <row r="343" spans="1:13" x14ac:dyDescent="0.25">
      <c r="A343" t="s">
        <v>375</v>
      </c>
      <c r="B343" s="1">
        <v>45907</v>
      </c>
      <c r="C343" t="s">
        <v>10</v>
      </c>
      <c r="D343" t="s">
        <v>37</v>
      </c>
      <c r="E343" t="s">
        <v>50</v>
      </c>
      <c r="F343" t="s">
        <v>18</v>
      </c>
      <c r="G343">
        <v>6</v>
      </c>
      <c r="H343">
        <v>24000</v>
      </c>
      <c r="I343">
        <v>18500</v>
      </c>
      <c r="J343">
        <f t="shared" si="20"/>
        <v>144000</v>
      </c>
      <c r="K343">
        <f t="shared" si="21"/>
        <v>111000</v>
      </c>
      <c r="L343">
        <f t="shared" si="22"/>
        <v>33000</v>
      </c>
      <c r="M343" s="9">
        <f t="shared" si="23"/>
        <v>0.22916666666666666</v>
      </c>
    </row>
    <row r="344" spans="1:13" x14ac:dyDescent="0.25">
      <c r="A344" t="s">
        <v>376</v>
      </c>
      <c r="B344" s="1">
        <v>45907</v>
      </c>
      <c r="C344" t="s">
        <v>39</v>
      </c>
      <c r="D344" t="s">
        <v>16</v>
      </c>
      <c r="E344" t="s">
        <v>17</v>
      </c>
      <c r="F344" t="s">
        <v>18</v>
      </c>
      <c r="G344">
        <v>1</v>
      </c>
      <c r="H344">
        <v>450</v>
      </c>
      <c r="I344">
        <v>230</v>
      </c>
      <c r="J344">
        <f t="shared" si="20"/>
        <v>450</v>
      </c>
      <c r="K344">
        <f t="shared" si="21"/>
        <v>230</v>
      </c>
      <c r="L344">
        <f t="shared" si="22"/>
        <v>220</v>
      </c>
      <c r="M344" s="9">
        <f t="shared" si="23"/>
        <v>0.48888888888888887</v>
      </c>
    </row>
    <row r="345" spans="1:13" x14ac:dyDescent="0.25">
      <c r="A345" t="s">
        <v>377</v>
      </c>
      <c r="B345" s="1">
        <v>45908</v>
      </c>
      <c r="C345" t="s">
        <v>25</v>
      </c>
      <c r="D345" t="s">
        <v>21</v>
      </c>
      <c r="E345" t="s">
        <v>31</v>
      </c>
      <c r="F345" t="s">
        <v>32</v>
      </c>
      <c r="G345">
        <v>3</v>
      </c>
      <c r="H345">
        <v>1200</v>
      </c>
      <c r="I345">
        <v>550</v>
      </c>
      <c r="J345">
        <f t="shared" si="20"/>
        <v>3600</v>
      </c>
      <c r="K345">
        <f t="shared" si="21"/>
        <v>1650</v>
      </c>
      <c r="L345">
        <f t="shared" si="22"/>
        <v>1950</v>
      </c>
      <c r="M345" s="9">
        <f t="shared" si="23"/>
        <v>0.54166666666666663</v>
      </c>
    </row>
    <row r="346" spans="1:13" x14ac:dyDescent="0.25">
      <c r="A346" t="s">
        <v>378</v>
      </c>
      <c r="B346" s="1">
        <v>45911</v>
      </c>
      <c r="C346" t="s">
        <v>20</v>
      </c>
      <c r="D346" t="s">
        <v>21</v>
      </c>
      <c r="E346" t="s">
        <v>17</v>
      </c>
      <c r="F346" t="s">
        <v>18</v>
      </c>
      <c r="G346">
        <v>1</v>
      </c>
      <c r="H346">
        <v>450</v>
      </c>
      <c r="I346">
        <v>230</v>
      </c>
      <c r="J346">
        <f t="shared" si="20"/>
        <v>450</v>
      </c>
      <c r="K346">
        <f t="shared" si="21"/>
        <v>230</v>
      </c>
      <c r="L346">
        <f t="shared" si="22"/>
        <v>220</v>
      </c>
      <c r="M346" s="9">
        <f t="shared" si="23"/>
        <v>0.48888888888888887</v>
      </c>
    </row>
    <row r="347" spans="1:13" x14ac:dyDescent="0.25">
      <c r="A347" t="s">
        <v>379</v>
      </c>
      <c r="B347" s="1">
        <v>45912</v>
      </c>
      <c r="C347" t="s">
        <v>15</v>
      </c>
      <c r="D347" t="s">
        <v>16</v>
      </c>
      <c r="E347" t="s">
        <v>59</v>
      </c>
      <c r="F347" t="s">
        <v>32</v>
      </c>
      <c r="G347">
        <v>7</v>
      </c>
      <c r="H347">
        <v>810</v>
      </c>
      <c r="I347">
        <v>400</v>
      </c>
      <c r="J347">
        <f t="shared" si="20"/>
        <v>5670</v>
      </c>
      <c r="K347">
        <f t="shared" si="21"/>
        <v>2800</v>
      </c>
      <c r="L347">
        <f t="shared" si="22"/>
        <v>2870</v>
      </c>
      <c r="M347" s="9">
        <f t="shared" si="23"/>
        <v>0.50617283950617287</v>
      </c>
    </row>
    <row r="348" spans="1:13" x14ac:dyDescent="0.25">
      <c r="A348" t="s">
        <v>380</v>
      </c>
      <c r="B348" s="1">
        <v>45912</v>
      </c>
      <c r="C348" t="s">
        <v>10</v>
      </c>
      <c r="D348" t="s">
        <v>26</v>
      </c>
      <c r="E348" t="s">
        <v>17</v>
      </c>
      <c r="F348" t="s">
        <v>18</v>
      </c>
      <c r="G348">
        <v>3</v>
      </c>
      <c r="H348">
        <v>450</v>
      </c>
      <c r="I348">
        <v>230</v>
      </c>
      <c r="J348">
        <f t="shared" si="20"/>
        <v>1350</v>
      </c>
      <c r="K348">
        <f t="shared" si="21"/>
        <v>690</v>
      </c>
      <c r="L348">
        <f t="shared" si="22"/>
        <v>660</v>
      </c>
      <c r="M348" s="9">
        <f t="shared" si="23"/>
        <v>0.48888888888888887</v>
      </c>
    </row>
    <row r="349" spans="1:13" x14ac:dyDescent="0.25">
      <c r="A349" t="s">
        <v>381</v>
      </c>
      <c r="B349" s="1">
        <v>45912</v>
      </c>
      <c r="C349" t="s">
        <v>15</v>
      </c>
      <c r="D349" t="s">
        <v>16</v>
      </c>
      <c r="E349" t="s">
        <v>17</v>
      </c>
      <c r="F349" t="s">
        <v>18</v>
      </c>
      <c r="G349">
        <v>2</v>
      </c>
      <c r="H349">
        <v>472.5</v>
      </c>
      <c r="I349">
        <v>230</v>
      </c>
      <c r="J349">
        <f t="shared" si="20"/>
        <v>945</v>
      </c>
      <c r="K349">
        <f t="shared" si="21"/>
        <v>460</v>
      </c>
      <c r="L349">
        <f t="shared" si="22"/>
        <v>485</v>
      </c>
      <c r="M349" s="9">
        <f t="shared" si="23"/>
        <v>0.51322751322751325</v>
      </c>
    </row>
    <row r="350" spans="1:13" x14ac:dyDescent="0.25">
      <c r="A350" t="s">
        <v>382</v>
      </c>
      <c r="B350" s="1">
        <v>45913</v>
      </c>
      <c r="C350" t="s">
        <v>20</v>
      </c>
      <c r="D350" t="s">
        <v>26</v>
      </c>
      <c r="E350" t="s">
        <v>27</v>
      </c>
      <c r="F350" t="s">
        <v>23</v>
      </c>
      <c r="G350">
        <v>6</v>
      </c>
      <c r="H350">
        <v>4500</v>
      </c>
      <c r="I350">
        <v>2800</v>
      </c>
      <c r="J350">
        <f t="shared" si="20"/>
        <v>27000</v>
      </c>
      <c r="K350">
        <f t="shared" si="21"/>
        <v>16800</v>
      </c>
      <c r="L350">
        <f t="shared" si="22"/>
        <v>10200</v>
      </c>
      <c r="M350" s="9">
        <f t="shared" si="23"/>
        <v>0.37777777777777777</v>
      </c>
    </row>
    <row r="351" spans="1:13" x14ac:dyDescent="0.25">
      <c r="A351" t="s">
        <v>383</v>
      </c>
      <c r="B351" s="1">
        <v>45913</v>
      </c>
      <c r="C351" t="s">
        <v>15</v>
      </c>
      <c r="D351" t="s">
        <v>16</v>
      </c>
      <c r="E351" t="s">
        <v>22</v>
      </c>
      <c r="F351" t="s">
        <v>23</v>
      </c>
      <c r="G351">
        <v>1</v>
      </c>
      <c r="H351">
        <v>18000</v>
      </c>
      <c r="I351">
        <v>13500</v>
      </c>
      <c r="J351">
        <f t="shared" si="20"/>
        <v>18000</v>
      </c>
      <c r="K351">
        <f t="shared" si="21"/>
        <v>13500</v>
      </c>
      <c r="L351">
        <f t="shared" si="22"/>
        <v>4500</v>
      </c>
      <c r="M351" s="9">
        <f t="shared" si="23"/>
        <v>0.25</v>
      </c>
    </row>
    <row r="352" spans="1:13" x14ac:dyDescent="0.25">
      <c r="A352" t="s">
        <v>384</v>
      </c>
      <c r="B352" s="1">
        <v>45913</v>
      </c>
      <c r="C352" t="s">
        <v>10</v>
      </c>
      <c r="D352" t="s">
        <v>37</v>
      </c>
      <c r="E352" t="s">
        <v>35</v>
      </c>
      <c r="F352" t="s">
        <v>32</v>
      </c>
      <c r="G352">
        <v>3</v>
      </c>
      <c r="H352">
        <v>2500</v>
      </c>
      <c r="I352">
        <v>1300</v>
      </c>
      <c r="J352">
        <f t="shared" si="20"/>
        <v>7500</v>
      </c>
      <c r="K352">
        <f t="shared" si="21"/>
        <v>3900</v>
      </c>
      <c r="L352">
        <f t="shared" si="22"/>
        <v>3600</v>
      </c>
      <c r="M352" s="9">
        <f t="shared" si="23"/>
        <v>0.48</v>
      </c>
    </row>
    <row r="353" spans="1:13" x14ac:dyDescent="0.25">
      <c r="A353" t="s">
        <v>385</v>
      </c>
      <c r="B353" s="1">
        <v>45914</v>
      </c>
      <c r="C353" t="s">
        <v>39</v>
      </c>
      <c r="D353" t="s">
        <v>11</v>
      </c>
      <c r="E353" t="s">
        <v>78</v>
      </c>
      <c r="F353" t="s">
        <v>23</v>
      </c>
      <c r="G353">
        <v>3</v>
      </c>
      <c r="H353">
        <v>65000</v>
      </c>
      <c r="I353">
        <v>52000</v>
      </c>
      <c r="J353">
        <f t="shared" si="20"/>
        <v>195000</v>
      </c>
      <c r="K353">
        <f t="shared" si="21"/>
        <v>156000</v>
      </c>
      <c r="L353">
        <f t="shared" si="22"/>
        <v>39000</v>
      </c>
      <c r="M353" s="9">
        <f t="shared" si="23"/>
        <v>0.2</v>
      </c>
    </row>
    <row r="354" spans="1:13" x14ac:dyDescent="0.25">
      <c r="A354" t="s">
        <v>386</v>
      </c>
      <c r="B354" s="1">
        <v>45915</v>
      </c>
      <c r="C354" t="s">
        <v>25</v>
      </c>
      <c r="D354" t="s">
        <v>16</v>
      </c>
      <c r="E354" t="s">
        <v>31</v>
      </c>
      <c r="F354" t="s">
        <v>32</v>
      </c>
      <c r="G354">
        <v>8</v>
      </c>
      <c r="H354">
        <v>1200</v>
      </c>
      <c r="I354">
        <v>550</v>
      </c>
      <c r="J354">
        <f t="shared" si="20"/>
        <v>9600</v>
      </c>
      <c r="K354">
        <f t="shared" si="21"/>
        <v>4400</v>
      </c>
      <c r="L354">
        <f t="shared" si="22"/>
        <v>5200</v>
      </c>
      <c r="M354" s="9">
        <f t="shared" si="23"/>
        <v>0.54166666666666663</v>
      </c>
    </row>
    <row r="355" spans="1:13" x14ac:dyDescent="0.25">
      <c r="A355" t="s">
        <v>387</v>
      </c>
      <c r="B355" s="1">
        <v>45919</v>
      </c>
      <c r="C355" t="s">
        <v>25</v>
      </c>
      <c r="D355" t="s">
        <v>16</v>
      </c>
      <c r="E355" t="s">
        <v>27</v>
      </c>
      <c r="F355" t="s">
        <v>23</v>
      </c>
      <c r="G355">
        <v>1</v>
      </c>
      <c r="H355">
        <v>4500</v>
      </c>
      <c r="I355">
        <v>2800</v>
      </c>
      <c r="J355">
        <f t="shared" si="20"/>
        <v>4500</v>
      </c>
      <c r="K355">
        <f t="shared" si="21"/>
        <v>2800</v>
      </c>
      <c r="L355">
        <f t="shared" si="22"/>
        <v>1700</v>
      </c>
      <c r="M355" s="9">
        <f t="shared" si="23"/>
        <v>0.37777777777777777</v>
      </c>
    </row>
    <row r="356" spans="1:13" x14ac:dyDescent="0.25">
      <c r="A356" t="s">
        <v>388</v>
      </c>
      <c r="B356" s="1">
        <v>45919</v>
      </c>
      <c r="C356" t="s">
        <v>15</v>
      </c>
      <c r="D356" t="s">
        <v>37</v>
      </c>
      <c r="E356" t="s">
        <v>31</v>
      </c>
      <c r="F356" t="s">
        <v>32</v>
      </c>
      <c r="G356">
        <v>6</v>
      </c>
      <c r="H356">
        <v>1200</v>
      </c>
      <c r="I356">
        <v>550</v>
      </c>
      <c r="J356">
        <f t="shared" si="20"/>
        <v>7200</v>
      </c>
      <c r="K356">
        <f t="shared" si="21"/>
        <v>3300</v>
      </c>
      <c r="L356">
        <f t="shared" si="22"/>
        <v>3900</v>
      </c>
      <c r="M356" s="9">
        <f t="shared" si="23"/>
        <v>0.54166666666666663</v>
      </c>
    </row>
    <row r="357" spans="1:13" x14ac:dyDescent="0.25">
      <c r="A357" t="s">
        <v>389</v>
      </c>
      <c r="B357" s="1">
        <v>45919</v>
      </c>
      <c r="C357" t="s">
        <v>39</v>
      </c>
      <c r="D357" t="s">
        <v>26</v>
      </c>
      <c r="E357" t="s">
        <v>12</v>
      </c>
      <c r="F357" t="s">
        <v>13</v>
      </c>
      <c r="G357">
        <v>3</v>
      </c>
      <c r="H357">
        <v>22000</v>
      </c>
      <c r="I357">
        <v>15500</v>
      </c>
      <c r="J357">
        <f t="shared" si="20"/>
        <v>66000</v>
      </c>
      <c r="K357">
        <f t="shared" si="21"/>
        <v>46500</v>
      </c>
      <c r="L357">
        <f t="shared" si="22"/>
        <v>19500</v>
      </c>
      <c r="M357" s="9">
        <f t="shared" si="23"/>
        <v>0.29545454545454547</v>
      </c>
    </row>
    <row r="358" spans="1:13" x14ac:dyDescent="0.25">
      <c r="A358" t="s">
        <v>390</v>
      </c>
      <c r="B358" s="1">
        <v>45919</v>
      </c>
      <c r="C358" t="s">
        <v>25</v>
      </c>
      <c r="D358" t="s">
        <v>16</v>
      </c>
      <c r="E358" t="s">
        <v>17</v>
      </c>
      <c r="F358" t="s">
        <v>18</v>
      </c>
      <c r="G358">
        <v>2</v>
      </c>
      <c r="H358">
        <v>450</v>
      </c>
      <c r="I358">
        <v>230</v>
      </c>
      <c r="J358">
        <f t="shared" si="20"/>
        <v>900</v>
      </c>
      <c r="K358">
        <f t="shared" si="21"/>
        <v>460</v>
      </c>
      <c r="L358">
        <f t="shared" si="22"/>
        <v>440</v>
      </c>
      <c r="M358" s="9">
        <f t="shared" si="23"/>
        <v>0.48888888888888887</v>
      </c>
    </row>
    <row r="359" spans="1:13" x14ac:dyDescent="0.25">
      <c r="A359" t="s">
        <v>391</v>
      </c>
      <c r="B359" s="1">
        <v>45920</v>
      </c>
      <c r="C359" t="s">
        <v>25</v>
      </c>
      <c r="D359" t="s">
        <v>26</v>
      </c>
      <c r="E359" t="s">
        <v>43</v>
      </c>
      <c r="F359" t="s">
        <v>13</v>
      </c>
      <c r="G359">
        <v>6</v>
      </c>
      <c r="H359">
        <v>13125</v>
      </c>
      <c r="I359">
        <v>8500</v>
      </c>
      <c r="J359">
        <f t="shared" si="20"/>
        <v>78750</v>
      </c>
      <c r="K359">
        <f t="shared" si="21"/>
        <v>51000</v>
      </c>
      <c r="L359">
        <f t="shared" si="22"/>
        <v>27750</v>
      </c>
      <c r="M359" s="9">
        <f t="shared" si="23"/>
        <v>0.35238095238095241</v>
      </c>
    </row>
    <row r="360" spans="1:13" x14ac:dyDescent="0.25">
      <c r="A360" t="s">
        <v>392</v>
      </c>
      <c r="B360" s="1">
        <v>45920</v>
      </c>
      <c r="C360" t="s">
        <v>10</v>
      </c>
      <c r="D360" t="s">
        <v>26</v>
      </c>
      <c r="E360" t="s">
        <v>31</v>
      </c>
      <c r="F360" t="s">
        <v>32</v>
      </c>
      <c r="G360">
        <v>8</v>
      </c>
      <c r="H360">
        <v>1260</v>
      </c>
      <c r="I360">
        <v>550</v>
      </c>
      <c r="J360">
        <f t="shared" si="20"/>
        <v>10080</v>
      </c>
      <c r="K360">
        <f t="shared" si="21"/>
        <v>4400</v>
      </c>
      <c r="L360">
        <f t="shared" si="22"/>
        <v>5680</v>
      </c>
      <c r="M360" s="9">
        <f t="shared" si="23"/>
        <v>0.56349206349206349</v>
      </c>
    </row>
    <row r="361" spans="1:13" x14ac:dyDescent="0.25">
      <c r="A361" t="s">
        <v>393</v>
      </c>
      <c r="B361" s="1">
        <v>45921</v>
      </c>
      <c r="C361" t="s">
        <v>10</v>
      </c>
      <c r="D361" t="s">
        <v>11</v>
      </c>
      <c r="E361" t="s">
        <v>17</v>
      </c>
      <c r="F361" t="s">
        <v>18</v>
      </c>
      <c r="G361">
        <v>6</v>
      </c>
      <c r="H361">
        <v>450</v>
      </c>
      <c r="I361">
        <v>230</v>
      </c>
      <c r="J361">
        <f t="shared" si="20"/>
        <v>2700</v>
      </c>
      <c r="K361">
        <f t="shared" si="21"/>
        <v>1380</v>
      </c>
      <c r="L361">
        <f t="shared" si="22"/>
        <v>1320</v>
      </c>
      <c r="M361" s="9">
        <f t="shared" si="23"/>
        <v>0.48888888888888887</v>
      </c>
    </row>
    <row r="362" spans="1:13" x14ac:dyDescent="0.25">
      <c r="A362" t="s">
        <v>394</v>
      </c>
      <c r="B362" s="1">
        <v>45921</v>
      </c>
      <c r="C362" t="s">
        <v>15</v>
      </c>
      <c r="D362" t="s">
        <v>26</v>
      </c>
      <c r="E362" t="s">
        <v>22</v>
      </c>
      <c r="F362" t="s">
        <v>23</v>
      </c>
      <c r="G362">
        <v>6</v>
      </c>
      <c r="H362">
        <v>18000</v>
      </c>
      <c r="I362">
        <v>13500</v>
      </c>
      <c r="J362">
        <f t="shared" si="20"/>
        <v>108000</v>
      </c>
      <c r="K362">
        <f t="shared" si="21"/>
        <v>81000</v>
      </c>
      <c r="L362">
        <f t="shared" si="22"/>
        <v>27000</v>
      </c>
      <c r="M362" s="9">
        <f t="shared" si="23"/>
        <v>0.25</v>
      </c>
    </row>
    <row r="363" spans="1:13" x14ac:dyDescent="0.25">
      <c r="A363" t="s">
        <v>395</v>
      </c>
      <c r="B363" s="1">
        <v>45922</v>
      </c>
      <c r="C363" t="s">
        <v>15</v>
      </c>
      <c r="D363" t="s">
        <v>16</v>
      </c>
      <c r="E363" t="s">
        <v>31</v>
      </c>
      <c r="F363" t="s">
        <v>32</v>
      </c>
      <c r="G363">
        <v>1</v>
      </c>
      <c r="H363">
        <v>1200</v>
      </c>
      <c r="I363">
        <v>550</v>
      </c>
      <c r="J363">
        <f t="shared" si="20"/>
        <v>1200</v>
      </c>
      <c r="K363">
        <f t="shared" si="21"/>
        <v>550</v>
      </c>
      <c r="L363">
        <f t="shared" si="22"/>
        <v>650</v>
      </c>
      <c r="M363" s="9">
        <f t="shared" si="23"/>
        <v>0.54166666666666663</v>
      </c>
    </row>
    <row r="364" spans="1:13" x14ac:dyDescent="0.25">
      <c r="A364" t="s">
        <v>396</v>
      </c>
      <c r="B364" s="1">
        <v>45923</v>
      </c>
      <c r="C364" t="s">
        <v>25</v>
      </c>
      <c r="D364" t="s">
        <v>29</v>
      </c>
      <c r="E364" t="s">
        <v>22</v>
      </c>
      <c r="F364" t="s">
        <v>23</v>
      </c>
      <c r="G364">
        <v>3</v>
      </c>
      <c r="H364">
        <v>18000</v>
      </c>
      <c r="I364">
        <v>13500</v>
      </c>
      <c r="J364">
        <f t="shared" si="20"/>
        <v>54000</v>
      </c>
      <c r="K364">
        <f t="shared" si="21"/>
        <v>40500</v>
      </c>
      <c r="L364">
        <f t="shared" si="22"/>
        <v>13500</v>
      </c>
      <c r="M364" s="9">
        <f t="shared" si="23"/>
        <v>0.25</v>
      </c>
    </row>
    <row r="365" spans="1:13" x14ac:dyDescent="0.25">
      <c r="A365" t="s">
        <v>397</v>
      </c>
      <c r="B365" s="1">
        <v>45924</v>
      </c>
      <c r="C365" t="s">
        <v>10</v>
      </c>
      <c r="D365" t="s">
        <v>29</v>
      </c>
      <c r="E365" t="s">
        <v>59</v>
      </c>
      <c r="F365" t="s">
        <v>32</v>
      </c>
      <c r="G365">
        <v>6</v>
      </c>
      <c r="H365">
        <v>900</v>
      </c>
      <c r="I365">
        <v>400</v>
      </c>
      <c r="J365">
        <f t="shared" si="20"/>
        <v>5400</v>
      </c>
      <c r="K365">
        <f t="shared" si="21"/>
        <v>2400</v>
      </c>
      <c r="L365">
        <f t="shared" si="22"/>
        <v>3000</v>
      </c>
      <c r="M365" s="9">
        <f t="shared" si="23"/>
        <v>0.55555555555555558</v>
      </c>
    </row>
    <row r="366" spans="1:13" x14ac:dyDescent="0.25">
      <c r="A366" t="s">
        <v>398</v>
      </c>
      <c r="B366" s="1">
        <v>45926</v>
      </c>
      <c r="C366" t="s">
        <v>10</v>
      </c>
      <c r="D366" t="s">
        <v>37</v>
      </c>
      <c r="E366" t="s">
        <v>31</v>
      </c>
      <c r="F366" t="s">
        <v>32</v>
      </c>
      <c r="G366">
        <v>8</v>
      </c>
      <c r="H366">
        <v>1200</v>
      </c>
      <c r="I366">
        <v>550</v>
      </c>
      <c r="J366">
        <f t="shared" si="20"/>
        <v>9600</v>
      </c>
      <c r="K366">
        <f t="shared" si="21"/>
        <v>4400</v>
      </c>
      <c r="L366">
        <f t="shared" si="22"/>
        <v>5200</v>
      </c>
      <c r="M366" s="9">
        <f t="shared" si="23"/>
        <v>0.54166666666666663</v>
      </c>
    </row>
    <row r="367" spans="1:13" x14ac:dyDescent="0.25">
      <c r="A367" t="s">
        <v>399</v>
      </c>
      <c r="B367" s="1">
        <v>45926</v>
      </c>
      <c r="C367" t="s">
        <v>15</v>
      </c>
      <c r="D367" t="s">
        <v>37</v>
      </c>
      <c r="E367" t="s">
        <v>17</v>
      </c>
      <c r="F367" t="s">
        <v>18</v>
      </c>
      <c r="G367">
        <v>6</v>
      </c>
      <c r="H367">
        <v>450</v>
      </c>
      <c r="I367">
        <v>230</v>
      </c>
      <c r="J367">
        <f t="shared" si="20"/>
        <v>2700</v>
      </c>
      <c r="K367">
        <f t="shared" si="21"/>
        <v>1380</v>
      </c>
      <c r="L367">
        <f t="shared" si="22"/>
        <v>1320</v>
      </c>
      <c r="M367" s="9">
        <f t="shared" si="23"/>
        <v>0.48888888888888887</v>
      </c>
    </row>
    <row r="368" spans="1:13" x14ac:dyDescent="0.25">
      <c r="A368" t="s">
        <v>400</v>
      </c>
      <c r="B368" s="1">
        <v>45926</v>
      </c>
      <c r="C368" t="s">
        <v>15</v>
      </c>
      <c r="D368" t="s">
        <v>26</v>
      </c>
      <c r="E368" t="s">
        <v>22</v>
      </c>
      <c r="F368" t="s">
        <v>23</v>
      </c>
      <c r="G368">
        <v>1</v>
      </c>
      <c r="H368">
        <v>19800</v>
      </c>
      <c r="I368">
        <v>13500</v>
      </c>
      <c r="J368">
        <f t="shared" si="20"/>
        <v>19800</v>
      </c>
      <c r="K368">
        <f t="shared" si="21"/>
        <v>13500</v>
      </c>
      <c r="L368">
        <f t="shared" si="22"/>
        <v>6300</v>
      </c>
      <c r="M368" s="9">
        <f t="shared" si="23"/>
        <v>0.31818181818181818</v>
      </c>
    </row>
    <row r="369" spans="1:13" x14ac:dyDescent="0.25">
      <c r="A369" t="s">
        <v>401</v>
      </c>
      <c r="B369" s="1">
        <v>45927</v>
      </c>
      <c r="C369" t="s">
        <v>10</v>
      </c>
      <c r="D369" t="s">
        <v>29</v>
      </c>
      <c r="E369" t="s">
        <v>22</v>
      </c>
      <c r="F369" t="s">
        <v>23</v>
      </c>
      <c r="G369">
        <v>4</v>
      </c>
      <c r="H369">
        <v>18000</v>
      </c>
      <c r="I369">
        <v>13500</v>
      </c>
      <c r="J369">
        <f t="shared" si="20"/>
        <v>72000</v>
      </c>
      <c r="K369">
        <f t="shared" si="21"/>
        <v>54000</v>
      </c>
      <c r="L369">
        <f t="shared" si="22"/>
        <v>18000</v>
      </c>
      <c r="M369" s="9">
        <f t="shared" si="23"/>
        <v>0.25</v>
      </c>
    </row>
    <row r="370" spans="1:13" x14ac:dyDescent="0.25">
      <c r="A370" t="s">
        <v>402</v>
      </c>
      <c r="B370" s="1">
        <v>45927</v>
      </c>
      <c r="C370" t="s">
        <v>10</v>
      </c>
      <c r="D370" t="s">
        <v>11</v>
      </c>
      <c r="E370" t="s">
        <v>35</v>
      </c>
      <c r="F370" t="s">
        <v>32</v>
      </c>
      <c r="G370">
        <v>3</v>
      </c>
      <c r="H370">
        <v>2750</v>
      </c>
      <c r="I370">
        <v>1300</v>
      </c>
      <c r="J370">
        <f t="shared" si="20"/>
        <v>8250</v>
      </c>
      <c r="K370">
        <f t="shared" si="21"/>
        <v>3900</v>
      </c>
      <c r="L370">
        <f t="shared" si="22"/>
        <v>4350</v>
      </c>
      <c r="M370" s="9">
        <f t="shared" si="23"/>
        <v>0.52727272727272723</v>
      </c>
    </row>
    <row r="371" spans="1:13" x14ac:dyDescent="0.25">
      <c r="A371" t="s">
        <v>403</v>
      </c>
      <c r="B371" s="1">
        <v>45929</v>
      </c>
      <c r="C371" t="s">
        <v>20</v>
      </c>
      <c r="D371" t="s">
        <v>37</v>
      </c>
      <c r="E371" t="s">
        <v>17</v>
      </c>
      <c r="F371" t="s">
        <v>18</v>
      </c>
      <c r="G371">
        <v>3</v>
      </c>
      <c r="H371">
        <v>450</v>
      </c>
      <c r="I371">
        <v>230</v>
      </c>
      <c r="J371">
        <f t="shared" si="20"/>
        <v>1350</v>
      </c>
      <c r="K371">
        <f t="shared" si="21"/>
        <v>690</v>
      </c>
      <c r="L371">
        <f t="shared" si="22"/>
        <v>660</v>
      </c>
      <c r="M371" s="9">
        <f t="shared" si="23"/>
        <v>0.48888888888888887</v>
      </c>
    </row>
    <row r="372" spans="1:13" x14ac:dyDescent="0.25">
      <c r="A372" t="s">
        <v>404</v>
      </c>
      <c r="B372" s="1">
        <v>45929</v>
      </c>
      <c r="C372" t="s">
        <v>25</v>
      </c>
      <c r="D372" t="s">
        <v>29</v>
      </c>
      <c r="E372" t="s">
        <v>12</v>
      </c>
      <c r="F372" t="s">
        <v>13</v>
      </c>
      <c r="G372">
        <v>5</v>
      </c>
      <c r="H372">
        <v>19800</v>
      </c>
      <c r="I372">
        <v>15500</v>
      </c>
      <c r="J372">
        <f t="shared" si="20"/>
        <v>99000</v>
      </c>
      <c r="K372">
        <f t="shared" si="21"/>
        <v>77500</v>
      </c>
      <c r="L372">
        <f t="shared" si="22"/>
        <v>21500</v>
      </c>
      <c r="M372" s="9">
        <f t="shared" si="23"/>
        <v>0.21717171717171718</v>
      </c>
    </row>
    <row r="373" spans="1:13" x14ac:dyDescent="0.25">
      <c r="A373" t="s">
        <v>405</v>
      </c>
      <c r="B373" s="1">
        <v>45930</v>
      </c>
      <c r="C373" t="s">
        <v>15</v>
      </c>
      <c r="D373" t="s">
        <v>16</v>
      </c>
      <c r="E373" t="s">
        <v>59</v>
      </c>
      <c r="F373" t="s">
        <v>32</v>
      </c>
      <c r="G373">
        <v>6</v>
      </c>
      <c r="H373">
        <v>900</v>
      </c>
      <c r="I373">
        <v>400</v>
      </c>
      <c r="J373">
        <f t="shared" si="20"/>
        <v>5400</v>
      </c>
      <c r="K373">
        <f t="shared" si="21"/>
        <v>2400</v>
      </c>
      <c r="L373">
        <f t="shared" si="22"/>
        <v>3000</v>
      </c>
      <c r="M373" s="9">
        <f t="shared" si="23"/>
        <v>0.55555555555555558</v>
      </c>
    </row>
    <row r="374" spans="1:13" x14ac:dyDescent="0.25">
      <c r="A374" t="s">
        <v>406</v>
      </c>
      <c r="B374" s="1">
        <v>45930</v>
      </c>
      <c r="C374" t="s">
        <v>15</v>
      </c>
      <c r="D374" t="s">
        <v>26</v>
      </c>
      <c r="E374" t="s">
        <v>35</v>
      </c>
      <c r="F374" t="s">
        <v>32</v>
      </c>
      <c r="G374">
        <v>3</v>
      </c>
      <c r="H374">
        <v>2500</v>
      </c>
      <c r="I374">
        <v>1300</v>
      </c>
      <c r="J374">
        <f t="shared" si="20"/>
        <v>7500</v>
      </c>
      <c r="K374">
        <f t="shared" si="21"/>
        <v>3900</v>
      </c>
      <c r="L374">
        <f t="shared" si="22"/>
        <v>3600</v>
      </c>
      <c r="M374" s="9">
        <f t="shared" si="23"/>
        <v>0.48</v>
      </c>
    </row>
    <row r="375" spans="1:13" x14ac:dyDescent="0.25">
      <c r="A375" t="s">
        <v>407</v>
      </c>
      <c r="B375" s="1">
        <v>45931</v>
      </c>
      <c r="C375" t="s">
        <v>25</v>
      </c>
      <c r="D375" t="s">
        <v>37</v>
      </c>
      <c r="E375" t="s">
        <v>43</v>
      </c>
      <c r="F375" t="s">
        <v>13</v>
      </c>
      <c r="G375">
        <v>6</v>
      </c>
      <c r="H375">
        <v>12500</v>
      </c>
      <c r="I375">
        <v>8500</v>
      </c>
      <c r="J375">
        <f t="shared" si="20"/>
        <v>75000</v>
      </c>
      <c r="K375">
        <f t="shared" si="21"/>
        <v>51000</v>
      </c>
      <c r="L375">
        <f t="shared" si="22"/>
        <v>24000</v>
      </c>
      <c r="M375" s="9">
        <f t="shared" si="23"/>
        <v>0.32</v>
      </c>
    </row>
    <row r="376" spans="1:13" x14ac:dyDescent="0.25">
      <c r="A376" t="s">
        <v>408</v>
      </c>
      <c r="B376" s="1">
        <v>45931</v>
      </c>
      <c r="C376" t="s">
        <v>15</v>
      </c>
      <c r="D376" t="s">
        <v>29</v>
      </c>
      <c r="E376" t="s">
        <v>22</v>
      </c>
      <c r="F376" t="s">
        <v>23</v>
      </c>
      <c r="G376">
        <v>8</v>
      </c>
      <c r="H376">
        <v>18000</v>
      </c>
      <c r="I376">
        <v>13500</v>
      </c>
      <c r="J376">
        <f t="shared" si="20"/>
        <v>144000</v>
      </c>
      <c r="K376">
        <f t="shared" si="21"/>
        <v>108000</v>
      </c>
      <c r="L376">
        <f t="shared" si="22"/>
        <v>36000</v>
      </c>
      <c r="M376" s="9">
        <f t="shared" si="23"/>
        <v>0.25</v>
      </c>
    </row>
    <row r="377" spans="1:13" x14ac:dyDescent="0.25">
      <c r="A377" t="s">
        <v>409</v>
      </c>
      <c r="B377" s="1">
        <v>45932</v>
      </c>
      <c r="C377" t="s">
        <v>25</v>
      </c>
      <c r="D377" t="s">
        <v>29</v>
      </c>
      <c r="E377" t="s">
        <v>27</v>
      </c>
      <c r="F377" t="s">
        <v>23</v>
      </c>
      <c r="G377">
        <v>3</v>
      </c>
      <c r="H377">
        <v>4500</v>
      </c>
      <c r="I377">
        <v>2800</v>
      </c>
      <c r="J377">
        <f t="shared" si="20"/>
        <v>13500</v>
      </c>
      <c r="K377">
        <f t="shared" si="21"/>
        <v>8400</v>
      </c>
      <c r="L377">
        <f t="shared" si="22"/>
        <v>5100</v>
      </c>
      <c r="M377" s="9">
        <f t="shared" si="23"/>
        <v>0.37777777777777777</v>
      </c>
    </row>
    <row r="378" spans="1:13" x14ac:dyDescent="0.25">
      <c r="A378" t="s">
        <v>410</v>
      </c>
      <c r="B378" s="1">
        <v>45934</v>
      </c>
      <c r="C378" t="s">
        <v>25</v>
      </c>
      <c r="D378" t="s">
        <v>21</v>
      </c>
      <c r="E378" t="s">
        <v>35</v>
      </c>
      <c r="F378" t="s">
        <v>32</v>
      </c>
      <c r="G378">
        <v>8</v>
      </c>
      <c r="H378">
        <v>2500</v>
      </c>
      <c r="I378">
        <v>1300</v>
      </c>
      <c r="J378">
        <f t="shared" si="20"/>
        <v>20000</v>
      </c>
      <c r="K378">
        <f t="shared" si="21"/>
        <v>10400</v>
      </c>
      <c r="L378">
        <f t="shared" si="22"/>
        <v>9600</v>
      </c>
      <c r="M378" s="9">
        <f t="shared" si="23"/>
        <v>0.48</v>
      </c>
    </row>
    <row r="379" spans="1:13" x14ac:dyDescent="0.25">
      <c r="A379" t="s">
        <v>411</v>
      </c>
      <c r="B379" s="1">
        <v>45934</v>
      </c>
      <c r="C379" t="s">
        <v>39</v>
      </c>
      <c r="D379" t="s">
        <v>29</v>
      </c>
      <c r="E379" t="s">
        <v>78</v>
      </c>
      <c r="F379" t="s">
        <v>23</v>
      </c>
      <c r="G379">
        <v>3</v>
      </c>
      <c r="H379">
        <v>65000</v>
      </c>
      <c r="I379">
        <v>52000</v>
      </c>
      <c r="J379">
        <f t="shared" si="20"/>
        <v>195000</v>
      </c>
      <c r="K379">
        <f t="shared" si="21"/>
        <v>156000</v>
      </c>
      <c r="L379">
        <f t="shared" si="22"/>
        <v>39000</v>
      </c>
      <c r="M379" s="9">
        <f t="shared" si="23"/>
        <v>0.2</v>
      </c>
    </row>
    <row r="380" spans="1:13" x14ac:dyDescent="0.25">
      <c r="A380" t="s">
        <v>412</v>
      </c>
      <c r="B380" s="1">
        <v>45934</v>
      </c>
      <c r="C380" t="s">
        <v>39</v>
      </c>
      <c r="D380" t="s">
        <v>29</v>
      </c>
      <c r="E380" t="s">
        <v>78</v>
      </c>
      <c r="F380" t="s">
        <v>23</v>
      </c>
      <c r="G380">
        <v>2</v>
      </c>
      <c r="H380">
        <v>65000</v>
      </c>
      <c r="I380">
        <v>52000</v>
      </c>
      <c r="J380">
        <f t="shared" si="20"/>
        <v>130000</v>
      </c>
      <c r="K380">
        <f t="shared" si="21"/>
        <v>104000</v>
      </c>
      <c r="L380">
        <f t="shared" si="22"/>
        <v>26000</v>
      </c>
      <c r="M380" s="9">
        <f t="shared" si="23"/>
        <v>0.2</v>
      </c>
    </row>
    <row r="381" spans="1:13" x14ac:dyDescent="0.25">
      <c r="A381" t="s">
        <v>413</v>
      </c>
      <c r="B381" s="1">
        <v>45935</v>
      </c>
      <c r="C381" t="s">
        <v>15</v>
      </c>
      <c r="D381" t="s">
        <v>16</v>
      </c>
      <c r="E381" t="s">
        <v>78</v>
      </c>
      <c r="F381" t="s">
        <v>23</v>
      </c>
      <c r="G381">
        <v>2</v>
      </c>
      <c r="H381">
        <v>65000</v>
      </c>
      <c r="I381">
        <v>52000</v>
      </c>
      <c r="J381">
        <f t="shared" si="20"/>
        <v>130000</v>
      </c>
      <c r="K381">
        <f t="shared" si="21"/>
        <v>104000</v>
      </c>
      <c r="L381">
        <f t="shared" si="22"/>
        <v>26000</v>
      </c>
      <c r="M381" s="9">
        <f t="shared" si="23"/>
        <v>0.2</v>
      </c>
    </row>
    <row r="382" spans="1:13" x14ac:dyDescent="0.25">
      <c r="A382" t="s">
        <v>414</v>
      </c>
      <c r="B382" s="1">
        <v>45935</v>
      </c>
      <c r="C382" t="s">
        <v>25</v>
      </c>
      <c r="D382" t="s">
        <v>37</v>
      </c>
      <c r="E382" t="s">
        <v>43</v>
      </c>
      <c r="F382" t="s">
        <v>13</v>
      </c>
      <c r="G382">
        <v>3</v>
      </c>
      <c r="H382">
        <v>13125</v>
      </c>
      <c r="I382">
        <v>8500</v>
      </c>
      <c r="J382">
        <f t="shared" si="20"/>
        <v>39375</v>
      </c>
      <c r="K382">
        <f t="shared" si="21"/>
        <v>25500</v>
      </c>
      <c r="L382">
        <f t="shared" si="22"/>
        <v>13875</v>
      </c>
      <c r="M382" s="9">
        <f t="shared" si="23"/>
        <v>0.35238095238095241</v>
      </c>
    </row>
    <row r="383" spans="1:13" x14ac:dyDescent="0.25">
      <c r="A383" t="s">
        <v>415</v>
      </c>
      <c r="B383" s="1">
        <v>45936</v>
      </c>
      <c r="C383" t="s">
        <v>25</v>
      </c>
      <c r="D383" t="s">
        <v>29</v>
      </c>
      <c r="E383" t="s">
        <v>59</v>
      </c>
      <c r="F383" t="s">
        <v>32</v>
      </c>
      <c r="G383">
        <v>3</v>
      </c>
      <c r="H383">
        <v>900</v>
      </c>
      <c r="I383">
        <v>400</v>
      </c>
      <c r="J383">
        <f t="shared" si="20"/>
        <v>2700</v>
      </c>
      <c r="K383">
        <f t="shared" si="21"/>
        <v>1200</v>
      </c>
      <c r="L383">
        <f t="shared" si="22"/>
        <v>1500</v>
      </c>
      <c r="M383" s="9">
        <f t="shared" si="23"/>
        <v>0.55555555555555558</v>
      </c>
    </row>
    <row r="384" spans="1:13" x14ac:dyDescent="0.25">
      <c r="A384" t="s">
        <v>416</v>
      </c>
      <c r="B384" s="1">
        <v>45937</v>
      </c>
      <c r="C384" t="s">
        <v>15</v>
      </c>
      <c r="D384" t="s">
        <v>26</v>
      </c>
      <c r="E384" t="s">
        <v>78</v>
      </c>
      <c r="F384" t="s">
        <v>23</v>
      </c>
      <c r="G384">
        <v>4</v>
      </c>
      <c r="H384">
        <v>65000</v>
      </c>
      <c r="I384">
        <v>52000</v>
      </c>
      <c r="J384">
        <f t="shared" si="20"/>
        <v>260000</v>
      </c>
      <c r="K384">
        <f t="shared" si="21"/>
        <v>208000</v>
      </c>
      <c r="L384">
        <f t="shared" si="22"/>
        <v>52000</v>
      </c>
      <c r="M384" s="9">
        <f t="shared" si="23"/>
        <v>0.2</v>
      </c>
    </row>
    <row r="385" spans="1:13" x14ac:dyDescent="0.25">
      <c r="A385" t="s">
        <v>417</v>
      </c>
      <c r="B385" s="1">
        <v>45937</v>
      </c>
      <c r="C385" t="s">
        <v>25</v>
      </c>
      <c r="D385" t="s">
        <v>21</v>
      </c>
      <c r="E385" t="s">
        <v>35</v>
      </c>
      <c r="F385" t="s">
        <v>32</v>
      </c>
      <c r="G385">
        <v>2</v>
      </c>
      <c r="H385">
        <v>2500</v>
      </c>
      <c r="I385">
        <v>1300</v>
      </c>
      <c r="J385">
        <f t="shared" si="20"/>
        <v>5000</v>
      </c>
      <c r="K385">
        <f t="shared" si="21"/>
        <v>2600</v>
      </c>
      <c r="L385">
        <f t="shared" si="22"/>
        <v>2400</v>
      </c>
      <c r="M385" s="9">
        <f t="shared" si="23"/>
        <v>0.48</v>
      </c>
    </row>
    <row r="386" spans="1:13" x14ac:dyDescent="0.25">
      <c r="A386" t="s">
        <v>418</v>
      </c>
      <c r="B386" s="1">
        <v>45937</v>
      </c>
      <c r="C386" t="s">
        <v>20</v>
      </c>
      <c r="D386" t="s">
        <v>29</v>
      </c>
      <c r="E386" t="s">
        <v>59</v>
      </c>
      <c r="F386" t="s">
        <v>32</v>
      </c>
      <c r="G386">
        <v>3</v>
      </c>
      <c r="H386">
        <v>900</v>
      </c>
      <c r="I386">
        <v>400</v>
      </c>
      <c r="J386">
        <f t="shared" ref="J386:J449" si="24">G386*H386</f>
        <v>2700</v>
      </c>
      <c r="K386">
        <f t="shared" ref="K386:K449" si="25">G386*I386</f>
        <v>1200</v>
      </c>
      <c r="L386">
        <f t="shared" ref="L386:L449" si="26">J386-K386</f>
        <v>1500</v>
      </c>
      <c r="M386" s="9">
        <f t="shared" si="23"/>
        <v>0.55555555555555558</v>
      </c>
    </row>
    <row r="387" spans="1:13" x14ac:dyDescent="0.25">
      <c r="A387" t="s">
        <v>419</v>
      </c>
      <c r="B387" s="1">
        <v>45938</v>
      </c>
      <c r="C387" t="s">
        <v>15</v>
      </c>
      <c r="D387" t="s">
        <v>26</v>
      </c>
      <c r="E387" t="s">
        <v>31</v>
      </c>
      <c r="F387" t="s">
        <v>32</v>
      </c>
      <c r="G387">
        <v>7</v>
      </c>
      <c r="H387">
        <v>1200</v>
      </c>
      <c r="I387">
        <v>550</v>
      </c>
      <c r="J387">
        <f t="shared" si="24"/>
        <v>8400</v>
      </c>
      <c r="K387">
        <f t="shared" si="25"/>
        <v>3850</v>
      </c>
      <c r="L387">
        <f t="shared" si="26"/>
        <v>4550</v>
      </c>
      <c r="M387" s="9">
        <f t="shared" ref="M387:M450" si="27">(J387-K387)/J387</f>
        <v>0.54166666666666663</v>
      </c>
    </row>
    <row r="388" spans="1:13" x14ac:dyDescent="0.25">
      <c r="A388" t="s">
        <v>420</v>
      </c>
      <c r="B388" s="1">
        <v>45938</v>
      </c>
      <c r="C388" t="s">
        <v>39</v>
      </c>
      <c r="D388" t="s">
        <v>11</v>
      </c>
      <c r="E388" t="s">
        <v>59</v>
      </c>
      <c r="F388" t="s">
        <v>32</v>
      </c>
      <c r="G388">
        <v>5</v>
      </c>
      <c r="H388">
        <v>990</v>
      </c>
      <c r="I388">
        <v>400</v>
      </c>
      <c r="J388">
        <f t="shared" si="24"/>
        <v>4950</v>
      </c>
      <c r="K388">
        <f t="shared" si="25"/>
        <v>2000</v>
      </c>
      <c r="L388">
        <f t="shared" si="26"/>
        <v>2950</v>
      </c>
      <c r="M388" s="9">
        <f t="shared" si="27"/>
        <v>0.59595959595959591</v>
      </c>
    </row>
    <row r="389" spans="1:13" x14ac:dyDescent="0.25">
      <c r="A389" t="s">
        <v>421</v>
      </c>
      <c r="B389" s="1">
        <v>45939</v>
      </c>
      <c r="C389" t="s">
        <v>25</v>
      </c>
      <c r="D389" t="s">
        <v>16</v>
      </c>
      <c r="E389" t="s">
        <v>31</v>
      </c>
      <c r="F389" t="s">
        <v>32</v>
      </c>
      <c r="G389">
        <v>7</v>
      </c>
      <c r="H389">
        <v>1080</v>
      </c>
      <c r="I389">
        <v>550</v>
      </c>
      <c r="J389">
        <f t="shared" si="24"/>
        <v>7560</v>
      </c>
      <c r="K389">
        <f t="shared" si="25"/>
        <v>3850</v>
      </c>
      <c r="L389">
        <f t="shared" si="26"/>
        <v>3710</v>
      </c>
      <c r="M389" s="9">
        <f t="shared" si="27"/>
        <v>0.49074074074074076</v>
      </c>
    </row>
    <row r="390" spans="1:13" x14ac:dyDescent="0.25">
      <c r="A390" t="s">
        <v>422</v>
      </c>
      <c r="B390" s="1">
        <v>45939</v>
      </c>
      <c r="C390" t="s">
        <v>39</v>
      </c>
      <c r="D390" t="s">
        <v>21</v>
      </c>
      <c r="E390" t="s">
        <v>59</v>
      </c>
      <c r="F390" t="s">
        <v>32</v>
      </c>
      <c r="G390">
        <v>6</v>
      </c>
      <c r="H390">
        <v>900</v>
      </c>
      <c r="I390">
        <v>400</v>
      </c>
      <c r="J390">
        <f t="shared" si="24"/>
        <v>5400</v>
      </c>
      <c r="K390">
        <f t="shared" si="25"/>
        <v>2400</v>
      </c>
      <c r="L390">
        <f t="shared" si="26"/>
        <v>3000</v>
      </c>
      <c r="M390" s="9">
        <f t="shared" si="27"/>
        <v>0.55555555555555558</v>
      </c>
    </row>
    <row r="391" spans="1:13" x14ac:dyDescent="0.25">
      <c r="A391" t="s">
        <v>423</v>
      </c>
      <c r="B391" s="1">
        <v>45940</v>
      </c>
      <c r="C391" t="s">
        <v>15</v>
      </c>
      <c r="D391" t="s">
        <v>11</v>
      </c>
      <c r="E391" t="s">
        <v>35</v>
      </c>
      <c r="F391" t="s">
        <v>32</v>
      </c>
      <c r="G391">
        <v>8</v>
      </c>
      <c r="H391">
        <v>2625</v>
      </c>
      <c r="I391">
        <v>1300</v>
      </c>
      <c r="J391">
        <f t="shared" si="24"/>
        <v>21000</v>
      </c>
      <c r="K391">
        <f t="shared" si="25"/>
        <v>10400</v>
      </c>
      <c r="L391">
        <f t="shared" si="26"/>
        <v>10600</v>
      </c>
      <c r="M391" s="9">
        <f t="shared" si="27"/>
        <v>0.50476190476190474</v>
      </c>
    </row>
    <row r="392" spans="1:13" x14ac:dyDescent="0.25">
      <c r="A392" t="s">
        <v>424</v>
      </c>
      <c r="B392" s="1">
        <v>45941</v>
      </c>
      <c r="C392" t="s">
        <v>15</v>
      </c>
      <c r="D392" t="s">
        <v>16</v>
      </c>
      <c r="E392" t="s">
        <v>59</v>
      </c>
      <c r="F392" t="s">
        <v>32</v>
      </c>
      <c r="G392">
        <v>3</v>
      </c>
      <c r="H392">
        <v>900</v>
      </c>
      <c r="I392">
        <v>400</v>
      </c>
      <c r="J392">
        <f t="shared" si="24"/>
        <v>2700</v>
      </c>
      <c r="K392">
        <f t="shared" si="25"/>
        <v>1200</v>
      </c>
      <c r="L392">
        <f t="shared" si="26"/>
        <v>1500</v>
      </c>
      <c r="M392" s="9">
        <f t="shared" si="27"/>
        <v>0.55555555555555558</v>
      </c>
    </row>
    <row r="393" spans="1:13" x14ac:dyDescent="0.25">
      <c r="A393" t="s">
        <v>425</v>
      </c>
      <c r="B393" s="1">
        <v>45942</v>
      </c>
      <c r="C393" t="s">
        <v>20</v>
      </c>
      <c r="D393" t="s">
        <v>37</v>
      </c>
      <c r="E393" t="s">
        <v>59</v>
      </c>
      <c r="F393" t="s">
        <v>32</v>
      </c>
      <c r="G393">
        <v>3</v>
      </c>
      <c r="H393">
        <v>900</v>
      </c>
      <c r="I393">
        <v>400</v>
      </c>
      <c r="J393">
        <f t="shared" si="24"/>
        <v>2700</v>
      </c>
      <c r="K393">
        <f t="shared" si="25"/>
        <v>1200</v>
      </c>
      <c r="L393">
        <f t="shared" si="26"/>
        <v>1500</v>
      </c>
      <c r="M393" s="9">
        <f t="shared" si="27"/>
        <v>0.55555555555555558</v>
      </c>
    </row>
    <row r="394" spans="1:13" x14ac:dyDescent="0.25">
      <c r="A394" t="s">
        <v>426</v>
      </c>
      <c r="B394" s="1">
        <v>45942</v>
      </c>
      <c r="C394" t="s">
        <v>25</v>
      </c>
      <c r="D394" t="s">
        <v>11</v>
      </c>
      <c r="E394" t="s">
        <v>17</v>
      </c>
      <c r="F394" t="s">
        <v>18</v>
      </c>
      <c r="G394">
        <v>2</v>
      </c>
      <c r="H394">
        <v>450</v>
      </c>
      <c r="I394">
        <v>230</v>
      </c>
      <c r="J394">
        <f t="shared" si="24"/>
        <v>900</v>
      </c>
      <c r="K394">
        <f t="shared" si="25"/>
        <v>460</v>
      </c>
      <c r="L394">
        <f t="shared" si="26"/>
        <v>440</v>
      </c>
      <c r="M394" s="9">
        <f t="shared" si="27"/>
        <v>0.48888888888888887</v>
      </c>
    </row>
    <row r="395" spans="1:13" x14ac:dyDescent="0.25">
      <c r="A395" t="s">
        <v>427</v>
      </c>
      <c r="B395" s="1">
        <v>45942</v>
      </c>
      <c r="C395" t="s">
        <v>20</v>
      </c>
      <c r="D395" t="s">
        <v>37</v>
      </c>
      <c r="E395" t="s">
        <v>27</v>
      </c>
      <c r="F395" t="s">
        <v>23</v>
      </c>
      <c r="G395">
        <v>6</v>
      </c>
      <c r="H395">
        <v>4050</v>
      </c>
      <c r="I395">
        <v>2800</v>
      </c>
      <c r="J395">
        <f t="shared" si="24"/>
        <v>24300</v>
      </c>
      <c r="K395">
        <f t="shared" si="25"/>
        <v>16800</v>
      </c>
      <c r="L395">
        <f t="shared" si="26"/>
        <v>7500</v>
      </c>
      <c r="M395" s="9">
        <f t="shared" si="27"/>
        <v>0.30864197530864196</v>
      </c>
    </row>
    <row r="396" spans="1:13" x14ac:dyDescent="0.25">
      <c r="A396" t="s">
        <v>428</v>
      </c>
      <c r="B396" s="1">
        <v>45942</v>
      </c>
      <c r="C396" t="s">
        <v>25</v>
      </c>
      <c r="D396" t="s">
        <v>26</v>
      </c>
      <c r="E396" t="s">
        <v>12</v>
      </c>
      <c r="F396" t="s">
        <v>13</v>
      </c>
      <c r="G396">
        <v>1</v>
      </c>
      <c r="H396">
        <v>23100</v>
      </c>
      <c r="I396">
        <v>15500</v>
      </c>
      <c r="J396">
        <f t="shared" si="24"/>
        <v>23100</v>
      </c>
      <c r="K396">
        <f t="shared" si="25"/>
        <v>15500</v>
      </c>
      <c r="L396">
        <f t="shared" si="26"/>
        <v>7600</v>
      </c>
      <c r="M396" s="9">
        <f t="shared" si="27"/>
        <v>0.32900432900432902</v>
      </c>
    </row>
    <row r="397" spans="1:13" x14ac:dyDescent="0.25">
      <c r="A397" t="s">
        <v>429</v>
      </c>
      <c r="B397" s="1">
        <v>45943</v>
      </c>
      <c r="C397" t="s">
        <v>25</v>
      </c>
      <c r="D397" t="s">
        <v>21</v>
      </c>
      <c r="E397" t="s">
        <v>17</v>
      </c>
      <c r="F397" t="s">
        <v>18</v>
      </c>
      <c r="G397">
        <v>5</v>
      </c>
      <c r="H397">
        <v>450</v>
      </c>
      <c r="I397">
        <v>230</v>
      </c>
      <c r="J397">
        <f t="shared" si="24"/>
        <v>2250</v>
      </c>
      <c r="K397">
        <f t="shared" si="25"/>
        <v>1150</v>
      </c>
      <c r="L397">
        <f t="shared" si="26"/>
        <v>1100</v>
      </c>
      <c r="M397" s="9">
        <f t="shared" si="27"/>
        <v>0.48888888888888887</v>
      </c>
    </row>
    <row r="398" spans="1:13" x14ac:dyDescent="0.25">
      <c r="A398" t="s">
        <v>430</v>
      </c>
      <c r="B398" s="1">
        <v>45943</v>
      </c>
      <c r="C398" t="s">
        <v>15</v>
      </c>
      <c r="D398" t="s">
        <v>29</v>
      </c>
      <c r="E398" t="s">
        <v>27</v>
      </c>
      <c r="F398" t="s">
        <v>23</v>
      </c>
      <c r="G398">
        <v>1</v>
      </c>
      <c r="H398">
        <v>4500</v>
      </c>
      <c r="I398">
        <v>2800</v>
      </c>
      <c r="J398">
        <f t="shared" si="24"/>
        <v>4500</v>
      </c>
      <c r="K398">
        <f t="shared" si="25"/>
        <v>2800</v>
      </c>
      <c r="L398">
        <f t="shared" si="26"/>
        <v>1700</v>
      </c>
      <c r="M398" s="9">
        <f t="shared" si="27"/>
        <v>0.37777777777777777</v>
      </c>
    </row>
    <row r="399" spans="1:13" x14ac:dyDescent="0.25">
      <c r="A399" t="s">
        <v>431</v>
      </c>
      <c r="B399" s="1">
        <v>45944</v>
      </c>
      <c r="C399" t="s">
        <v>39</v>
      </c>
      <c r="D399" t="s">
        <v>21</v>
      </c>
      <c r="E399" t="s">
        <v>50</v>
      </c>
      <c r="F399" t="s">
        <v>18</v>
      </c>
      <c r="G399">
        <v>2</v>
      </c>
      <c r="H399">
        <v>24000</v>
      </c>
      <c r="I399">
        <v>18500</v>
      </c>
      <c r="J399">
        <f t="shared" si="24"/>
        <v>48000</v>
      </c>
      <c r="K399">
        <f t="shared" si="25"/>
        <v>37000</v>
      </c>
      <c r="L399">
        <f t="shared" si="26"/>
        <v>11000</v>
      </c>
      <c r="M399" s="9">
        <f t="shared" si="27"/>
        <v>0.22916666666666666</v>
      </c>
    </row>
    <row r="400" spans="1:13" x14ac:dyDescent="0.25">
      <c r="A400" t="s">
        <v>432</v>
      </c>
      <c r="B400" s="1">
        <v>45944</v>
      </c>
      <c r="C400" t="s">
        <v>20</v>
      </c>
      <c r="D400" t="s">
        <v>21</v>
      </c>
      <c r="E400" t="s">
        <v>31</v>
      </c>
      <c r="F400" t="s">
        <v>32</v>
      </c>
      <c r="G400">
        <v>7</v>
      </c>
      <c r="H400">
        <v>1200</v>
      </c>
      <c r="I400">
        <v>550</v>
      </c>
      <c r="J400">
        <f t="shared" si="24"/>
        <v>8400</v>
      </c>
      <c r="K400">
        <f t="shared" si="25"/>
        <v>3850</v>
      </c>
      <c r="L400">
        <f t="shared" si="26"/>
        <v>4550</v>
      </c>
      <c r="M400" s="9">
        <f t="shared" si="27"/>
        <v>0.54166666666666663</v>
      </c>
    </row>
    <row r="401" spans="1:13" x14ac:dyDescent="0.25">
      <c r="A401" t="s">
        <v>433</v>
      </c>
      <c r="B401" s="1">
        <v>45944</v>
      </c>
      <c r="C401" t="s">
        <v>25</v>
      </c>
      <c r="D401" t="s">
        <v>26</v>
      </c>
      <c r="E401" t="s">
        <v>31</v>
      </c>
      <c r="F401" t="s">
        <v>32</v>
      </c>
      <c r="G401">
        <v>2</v>
      </c>
      <c r="H401">
        <v>1200</v>
      </c>
      <c r="I401">
        <v>550</v>
      </c>
      <c r="J401">
        <f t="shared" si="24"/>
        <v>2400</v>
      </c>
      <c r="K401">
        <f t="shared" si="25"/>
        <v>1100</v>
      </c>
      <c r="L401">
        <f t="shared" si="26"/>
        <v>1300</v>
      </c>
      <c r="M401" s="9">
        <f t="shared" si="27"/>
        <v>0.54166666666666663</v>
      </c>
    </row>
    <row r="402" spans="1:13" x14ac:dyDescent="0.25">
      <c r="A402" t="s">
        <v>434</v>
      </c>
      <c r="B402" s="1">
        <v>45945</v>
      </c>
      <c r="C402" t="s">
        <v>20</v>
      </c>
      <c r="D402" t="s">
        <v>37</v>
      </c>
      <c r="E402" t="s">
        <v>22</v>
      </c>
      <c r="F402" t="s">
        <v>23</v>
      </c>
      <c r="G402">
        <v>1</v>
      </c>
      <c r="H402">
        <v>19800</v>
      </c>
      <c r="I402">
        <v>13500</v>
      </c>
      <c r="J402">
        <f t="shared" si="24"/>
        <v>19800</v>
      </c>
      <c r="K402">
        <f t="shared" si="25"/>
        <v>13500</v>
      </c>
      <c r="L402">
        <f t="shared" si="26"/>
        <v>6300</v>
      </c>
      <c r="M402" s="9">
        <f t="shared" si="27"/>
        <v>0.31818181818181818</v>
      </c>
    </row>
    <row r="403" spans="1:13" x14ac:dyDescent="0.25">
      <c r="A403" t="s">
        <v>435</v>
      </c>
      <c r="B403" s="1">
        <v>45945</v>
      </c>
      <c r="C403" t="s">
        <v>15</v>
      </c>
      <c r="D403" t="s">
        <v>29</v>
      </c>
      <c r="E403" t="s">
        <v>59</v>
      </c>
      <c r="F403" t="s">
        <v>32</v>
      </c>
      <c r="G403">
        <v>5</v>
      </c>
      <c r="H403">
        <v>810</v>
      </c>
      <c r="I403">
        <v>400</v>
      </c>
      <c r="J403">
        <f t="shared" si="24"/>
        <v>4050</v>
      </c>
      <c r="K403">
        <f t="shared" si="25"/>
        <v>2000</v>
      </c>
      <c r="L403">
        <f t="shared" si="26"/>
        <v>2050</v>
      </c>
      <c r="M403" s="9">
        <f t="shared" si="27"/>
        <v>0.50617283950617287</v>
      </c>
    </row>
    <row r="404" spans="1:13" x14ac:dyDescent="0.25">
      <c r="A404" t="s">
        <v>436</v>
      </c>
      <c r="B404" s="1">
        <v>45945</v>
      </c>
      <c r="C404" t="s">
        <v>15</v>
      </c>
      <c r="D404" t="s">
        <v>21</v>
      </c>
      <c r="E404" t="s">
        <v>31</v>
      </c>
      <c r="F404" t="s">
        <v>32</v>
      </c>
      <c r="G404">
        <v>2</v>
      </c>
      <c r="H404">
        <v>1200</v>
      </c>
      <c r="I404">
        <v>550</v>
      </c>
      <c r="J404">
        <f t="shared" si="24"/>
        <v>2400</v>
      </c>
      <c r="K404">
        <f t="shared" si="25"/>
        <v>1100</v>
      </c>
      <c r="L404">
        <f t="shared" si="26"/>
        <v>1300</v>
      </c>
      <c r="M404" s="9">
        <f t="shared" si="27"/>
        <v>0.54166666666666663</v>
      </c>
    </row>
    <row r="405" spans="1:13" x14ac:dyDescent="0.25">
      <c r="A405" t="s">
        <v>437</v>
      </c>
      <c r="B405" s="1">
        <v>45947</v>
      </c>
      <c r="C405" t="s">
        <v>15</v>
      </c>
      <c r="D405" t="s">
        <v>37</v>
      </c>
      <c r="E405" t="s">
        <v>31</v>
      </c>
      <c r="F405" t="s">
        <v>32</v>
      </c>
      <c r="G405">
        <v>3</v>
      </c>
      <c r="H405">
        <v>1200</v>
      </c>
      <c r="I405">
        <v>550</v>
      </c>
      <c r="J405">
        <f t="shared" si="24"/>
        <v>3600</v>
      </c>
      <c r="K405">
        <f t="shared" si="25"/>
        <v>1650</v>
      </c>
      <c r="L405">
        <f t="shared" si="26"/>
        <v>1950</v>
      </c>
      <c r="M405" s="9">
        <f t="shared" si="27"/>
        <v>0.54166666666666663</v>
      </c>
    </row>
    <row r="406" spans="1:13" x14ac:dyDescent="0.25">
      <c r="A406" t="s">
        <v>438</v>
      </c>
      <c r="B406" s="1">
        <v>45948</v>
      </c>
      <c r="C406" t="s">
        <v>25</v>
      </c>
      <c r="D406" t="s">
        <v>16</v>
      </c>
      <c r="E406" t="s">
        <v>59</v>
      </c>
      <c r="F406" t="s">
        <v>32</v>
      </c>
      <c r="G406">
        <v>5</v>
      </c>
      <c r="H406">
        <v>900</v>
      </c>
      <c r="I406">
        <v>400</v>
      </c>
      <c r="J406">
        <f t="shared" si="24"/>
        <v>4500</v>
      </c>
      <c r="K406">
        <f t="shared" si="25"/>
        <v>2000</v>
      </c>
      <c r="L406">
        <f t="shared" si="26"/>
        <v>2500</v>
      </c>
      <c r="M406" s="9">
        <f t="shared" si="27"/>
        <v>0.55555555555555558</v>
      </c>
    </row>
    <row r="407" spans="1:13" x14ac:dyDescent="0.25">
      <c r="A407" t="s">
        <v>439</v>
      </c>
      <c r="B407" s="1">
        <v>45948</v>
      </c>
      <c r="C407" t="s">
        <v>15</v>
      </c>
      <c r="D407" t="s">
        <v>21</v>
      </c>
      <c r="E407" t="s">
        <v>59</v>
      </c>
      <c r="F407" t="s">
        <v>32</v>
      </c>
      <c r="G407">
        <v>2</v>
      </c>
      <c r="H407">
        <v>900</v>
      </c>
      <c r="I407">
        <v>400</v>
      </c>
      <c r="J407">
        <f t="shared" si="24"/>
        <v>1800</v>
      </c>
      <c r="K407">
        <f t="shared" si="25"/>
        <v>800</v>
      </c>
      <c r="L407">
        <f t="shared" si="26"/>
        <v>1000</v>
      </c>
      <c r="M407" s="9">
        <f t="shared" si="27"/>
        <v>0.55555555555555558</v>
      </c>
    </row>
    <row r="408" spans="1:13" x14ac:dyDescent="0.25">
      <c r="A408" t="s">
        <v>440</v>
      </c>
      <c r="B408" s="1">
        <v>45948</v>
      </c>
      <c r="C408" t="s">
        <v>20</v>
      </c>
      <c r="D408" t="s">
        <v>11</v>
      </c>
      <c r="E408" t="s">
        <v>50</v>
      </c>
      <c r="F408" t="s">
        <v>18</v>
      </c>
      <c r="G408">
        <v>2</v>
      </c>
      <c r="H408">
        <v>24000</v>
      </c>
      <c r="I408">
        <v>18500</v>
      </c>
      <c r="J408">
        <f t="shared" si="24"/>
        <v>48000</v>
      </c>
      <c r="K408">
        <f t="shared" si="25"/>
        <v>37000</v>
      </c>
      <c r="L408">
        <f t="shared" si="26"/>
        <v>11000</v>
      </c>
      <c r="M408" s="9">
        <f t="shared" si="27"/>
        <v>0.22916666666666666</v>
      </c>
    </row>
    <row r="409" spans="1:13" x14ac:dyDescent="0.25">
      <c r="A409" t="s">
        <v>441</v>
      </c>
      <c r="B409" s="1">
        <v>45948</v>
      </c>
      <c r="C409" t="s">
        <v>20</v>
      </c>
      <c r="D409" t="s">
        <v>29</v>
      </c>
      <c r="E409" t="s">
        <v>59</v>
      </c>
      <c r="F409" t="s">
        <v>32</v>
      </c>
      <c r="G409">
        <v>2</v>
      </c>
      <c r="H409">
        <v>945</v>
      </c>
      <c r="I409">
        <v>400</v>
      </c>
      <c r="J409">
        <f t="shared" si="24"/>
        <v>1890</v>
      </c>
      <c r="K409">
        <f t="shared" si="25"/>
        <v>800</v>
      </c>
      <c r="L409">
        <f t="shared" si="26"/>
        <v>1090</v>
      </c>
      <c r="M409" s="9">
        <f t="shared" si="27"/>
        <v>0.57671957671957674</v>
      </c>
    </row>
    <row r="410" spans="1:13" x14ac:dyDescent="0.25">
      <c r="A410" t="s">
        <v>442</v>
      </c>
      <c r="B410" s="1">
        <v>45951</v>
      </c>
      <c r="C410" t="s">
        <v>10</v>
      </c>
      <c r="D410" t="s">
        <v>26</v>
      </c>
      <c r="E410" t="s">
        <v>12</v>
      </c>
      <c r="F410" t="s">
        <v>13</v>
      </c>
      <c r="G410">
        <v>4</v>
      </c>
      <c r="H410">
        <v>22000</v>
      </c>
      <c r="I410">
        <v>15500</v>
      </c>
      <c r="J410">
        <f t="shared" si="24"/>
        <v>88000</v>
      </c>
      <c r="K410">
        <f t="shared" si="25"/>
        <v>62000</v>
      </c>
      <c r="L410">
        <f t="shared" si="26"/>
        <v>26000</v>
      </c>
      <c r="M410" s="9">
        <f t="shared" si="27"/>
        <v>0.29545454545454547</v>
      </c>
    </row>
    <row r="411" spans="1:13" x14ac:dyDescent="0.25">
      <c r="A411" t="s">
        <v>443</v>
      </c>
      <c r="B411" s="1">
        <v>45951</v>
      </c>
      <c r="C411" t="s">
        <v>25</v>
      </c>
      <c r="D411" t="s">
        <v>11</v>
      </c>
      <c r="E411" t="s">
        <v>35</v>
      </c>
      <c r="F411" t="s">
        <v>32</v>
      </c>
      <c r="G411">
        <v>7</v>
      </c>
      <c r="H411">
        <v>2500</v>
      </c>
      <c r="I411">
        <v>1300</v>
      </c>
      <c r="J411">
        <f t="shared" si="24"/>
        <v>17500</v>
      </c>
      <c r="K411">
        <f t="shared" si="25"/>
        <v>9100</v>
      </c>
      <c r="L411">
        <f t="shared" si="26"/>
        <v>8400</v>
      </c>
      <c r="M411" s="9">
        <f t="shared" si="27"/>
        <v>0.48</v>
      </c>
    </row>
    <row r="412" spans="1:13" x14ac:dyDescent="0.25">
      <c r="A412" t="s">
        <v>444</v>
      </c>
      <c r="B412" s="1">
        <v>45951</v>
      </c>
      <c r="C412" t="s">
        <v>25</v>
      </c>
      <c r="D412" t="s">
        <v>37</v>
      </c>
      <c r="E412" t="s">
        <v>59</v>
      </c>
      <c r="F412" t="s">
        <v>32</v>
      </c>
      <c r="G412">
        <v>1</v>
      </c>
      <c r="H412">
        <v>900</v>
      </c>
      <c r="I412">
        <v>400</v>
      </c>
      <c r="J412">
        <f t="shared" si="24"/>
        <v>900</v>
      </c>
      <c r="K412">
        <f t="shared" si="25"/>
        <v>400</v>
      </c>
      <c r="L412">
        <f t="shared" si="26"/>
        <v>500</v>
      </c>
      <c r="M412" s="9">
        <f t="shared" si="27"/>
        <v>0.55555555555555558</v>
      </c>
    </row>
    <row r="413" spans="1:13" x14ac:dyDescent="0.25">
      <c r="A413" t="s">
        <v>445</v>
      </c>
      <c r="B413" s="1">
        <v>45951</v>
      </c>
      <c r="C413" t="s">
        <v>39</v>
      </c>
      <c r="D413" t="s">
        <v>37</v>
      </c>
      <c r="E413" t="s">
        <v>43</v>
      </c>
      <c r="F413" t="s">
        <v>13</v>
      </c>
      <c r="G413">
        <v>7</v>
      </c>
      <c r="H413">
        <v>12500</v>
      </c>
      <c r="I413">
        <v>8500</v>
      </c>
      <c r="J413">
        <f t="shared" si="24"/>
        <v>87500</v>
      </c>
      <c r="K413">
        <f t="shared" si="25"/>
        <v>59500</v>
      </c>
      <c r="L413">
        <f t="shared" si="26"/>
        <v>28000</v>
      </c>
      <c r="M413" s="9">
        <f t="shared" si="27"/>
        <v>0.32</v>
      </c>
    </row>
    <row r="414" spans="1:13" x14ac:dyDescent="0.25">
      <c r="A414" t="s">
        <v>446</v>
      </c>
      <c r="B414" s="1">
        <v>45952</v>
      </c>
      <c r="C414" t="s">
        <v>10</v>
      </c>
      <c r="D414" t="s">
        <v>16</v>
      </c>
      <c r="E414" t="s">
        <v>59</v>
      </c>
      <c r="F414" t="s">
        <v>32</v>
      </c>
      <c r="G414">
        <v>2</v>
      </c>
      <c r="H414">
        <v>945</v>
      </c>
      <c r="I414">
        <v>400</v>
      </c>
      <c r="J414">
        <f t="shared" si="24"/>
        <v>1890</v>
      </c>
      <c r="K414">
        <f t="shared" si="25"/>
        <v>800</v>
      </c>
      <c r="L414">
        <f t="shared" si="26"/>
        <v>1090</v>
      </c>
      <c r="M414" s="9">
        <f t="shared" si="27"/>
        <v>0.57671957671957674</v>
      </c>
    </row>
    <row r="415" spans="1:13" x14ac:dyDescent="0.25">
      <c r="A415" t="s">
        <v>447</v>
      </c>
      <c r="B415" s="1">
        <v>45953</v>
      </c>
      <c r="C415" t="s">
        <v>25</v>
      </c>
      <c r="D415" t="s">
        <v>21</v>
      </c>
      <c r="E415" t="s">
        <v>22</v>
      </c>
      <c r="F415" t="s">
        <v>23</v>
      </c>
      <c r="G415">
        <v>6</v>
      </c>
      <c r="H415">
        <v>19800</v>
      </c>
      <c r="I415">
        <v>13500</v>
      </c>
      <c r="J415">
        <f t="shared" si="24"/>
        <v>118800</v>
      </c>
      <c r="K415">
        <f t="shared" si="25"/>
        <v>81000</v>
      </c>
      <c r="L415">
        <f t="shared" si="26"/>
        <v>37800</v>
      </c>
      <c r="M415" s="9">
        <f t="shared" si="27"/>
        <v>0.31818181818181818</v>
      </c>
    </row>
    <row r="416" spans="1:13" x14ac:dyDescent="0.25">
      <c r="A416" t="s">
        <v>448</v>
      </c>
      <c r="B416" s="1">
        <v>45953</v>
      </c>
      <c r="C416" t="s">
        <v>15</v>
      </c>
      <c r="D416" t="s">
        <v>21</v>
      </c>
      <c r="E416" t="s">
        <v>43</v>
      </c>
      <c r="F416" t="s">
        <v>13</v>
      </c>
      <c r="G416">
        <v>3</v>
      </c>
      <c r="H416">
        <v>11250</v>
      </c>
      <c r="I416">
        <v>8500</v>
      </c>
      <c r="J416">
        <f t="shared" si="24"/>
        <v>33750</v>
      </c>
      <c r="K416">
        <f t="shared" si="25"/>
        <v>25500</v>
      </c>
      <c r="L416">
        <f t="shared" si="26"/>
        <v>8250</v>
      </c>
      <c r="M416" s="9">
        <f t="shared" si="27"/>
        <v>0.24444444444444444</v>
      </c>
    </row>
    <row r="417" spans="1:13" x14ac:dyDescent="0.25">
      <c r="A417" t="s">
        <v>449</v>
      </c>
      <c r="B417" s="1">
        <v>45955</v>
      </c>
      <c r="C417" t="s">
        <v>10</v>
      </c>
      <c r="D417" t="s">
        <v>16</v>
      </c>
      <c r="E417" t="s">
        <v>17</v>
      </c>
      <c r="F417" t="s">
        <v>18</v>
      </c>
      <c r="G417">
        <v>3</v>
      </c>
      <c r="H417">
        <v>472.5</v>
      </c>
      <c r="I417">
        <v>230</v>
      </c>
      <c r="J417">
        <f t="shared" si="24"/>
        <v>1417.5</v>
      </c>
      <c r="K417">
        <f t="shared" si="25"/>
        <v>690</v>
      </c>
      <c r="L417">
        <f t="shared" si="26"/>
        <v>727.5</v>
      </c>
      <c r="M417" s="9">
        <f t="shared" si="27"/>
        <v>0.51322751322751325</v>
      </c>
    </row>
    <row r="418" spans="1:13" x14ac:dyDescent="0.25">
      <c r="A418" t="s">
        <v>450</v>
      </c>
      <c r="B418" s="1">
        <v>45957</v>
      </c>
      <c r="C418" t="s">
        <v>10</v>
      </c>
      <c r="D418" t="s">
        <v>26</v>
      </c>
      <c r="E418" t="s">
        <v>43</v>
      </c>
      <c r="F418" t="s">
        <v>13</v>
      </c>
      <c r="G418">
        <v>4</v>
      </c>
      <c r="H418">
        <v>12500</v>
      </c>
      <c r="I418">
        <v>8500</v>
      </c>
      <c r="J418">
        <f t="shared" si="24"/>
        <v>50000</v>
      </c>
      <c r="K418">
        <f t="shared" si="25"/>
        <v>34000</v>
      </c>
      <c r="L418">
        <f t="shared" si="26"/>
        <v>16000</v>
      </c>
      <c r="M418" s="9">
        <f t="shared" si="27"/>
        <v>0.32</v>
      </c>
    </row>
    <row r="419" spans="1:13" x14ac:dyDescent="0.25">
      <c r="A419" t="s">
        <v>451</v>
      </c>
      <c r="B419" s="1">
        <v>45958</v>
      </c>
      <c r="C419" t="s">
        <v>15</v>
      </c>
      <c r="D419" t="s">
        <v>37</v>
      </c>
      <c r="E419" t="s">
        <v>43</v>
      </c>
      <c r="F419" t="s">
        <v>13</v>
      </c>
      <c r="G419">
        <v>2</v>
      </c>
      <c r="H419">
        <v>13750</v>
      </c>
      <c r="I419">
        <v>8500</v>
      </c>
      <c r="J419">
        <f t="shared" si="24"/>
        <v>27500</v>
      </c>
      <c r="K419">
        <f t="shared" si="25"/>
        <v>17000</v>
      </c>
      <c r="L419">
        <f t="shared" si="26"/>
        <v>10500</v>
      </c>
      <c r="M419" s="9">
        <f t="shared" si="27"/>
        <v>0.38181818181818183</v>
      </c>
    </row>
    <row r="420" spans="1:13" x14ac:dyDescent="0.25">
      <c r="A420" t="s">
        <v>452</v>
      </c>
      <c r="B420" s="1">
        <v>45959</v>
      </c>
      <c r="C420" t="s">
        <v>25</v>
      </c>
      <c r="D420" t="s">
        <v>29</v>
      </c>
      <c r="E420" t="s">
        <v>17</v>
      </c>
      <c r="F420" t="s">
        <v>18</v>
      </c>
      <c r="G420">
        <v>1</v>
      </c>
      <c r="H420">
        <v>472.5</v>
      </c>
      <c r="I420">
        <v>230</v>
      </c>
      <c r="J420">
        <f t="shared" si="24"/>
        <v>472.5</v>
      </c>
      <c r="K420">
        <f t="shared" si="25"/>
        <v>230</v>
      </c>
      <c r="L420">
        <f t="shared" si="26"/>
        <v>242.5</v>
      </c>
      <c r="M420" s="9">
        <f t="shared" si="27"/>
        <v>0.51322751322751325</v>
      </c>
    </row>
    <row r="421" spans="1:13" x14ac:dyDescent="0.25">
      <c r="A421" t="s">
        <v>453</v>
      </c>
      <c r="B421" s="1">
        <v>45959</v>
      </c>
      <c r="C421" t="s">
        <v>25</v>
      </c>
      <c r="D421" t="s">
        <v>21</v>
      </c>
      <c r="E421" t="s">
        <v>31</v>
      </c>
      <c r="F421" t="s">
        <v>32</v>
      </c>
      <c r="G421">
        <v>1</v>
      </c>
      <c r="H421">
        <v>1200</v>
      </c>
      <c r="I421">
        <v>550</v>
      </c>
      <c r="J421">
        <f t="shared" si="24"/>
        <v>1200</v>
      </c>
      <c r="K421">
        <f t="shared" si="25"/>
        <v>550</v>
      </c>
      <c r="L421">
        <f t="shared" si="26"/>
        <v>650</v>
      </c>
      <c r="M421" s="9">
        <f t="shared" si="27"/>
        <v>0.54166666666666663</v>
      </c>
    </row>
    <row r="422" spans="1:13" x14ac:dyDescent="0.25">
      <c r="A422" t="s">
        <v>454</v>
      </c>
      <c r="B422" s="1">
        <v>45960</v>
      </c>
      <c r="C422" t="s">
        <v>10</v>
      </c>
      <c r="D422" t="s">
        <v>26</v>
      </c>
      <c r="E422" t="s">
        <v>31</v>
      </c>
      <c r="F422" t="s">
        <v>32</v>
      </c>
      <c r="G422">
        <v>3</v>
      </c>
      <c r="H422">
        <v>1200</v>
      </c>
      <c r="I422">
        <v>550</v>
      </c>
      <c r="J422">
        <f t="shared" si="24"/>
        <v>3600</v>
      </c>
      <c r="K422">
        <f t="shared" si="25"/>
        <v>1650</v>
      </c>
      <c r="L422">
        <f t="shared" si="26"/>
        <v>1950</v>
      </c>
      <c r="M422" s="9">
        <f t="shared" si="27"/>
        <v>0.54166666666666663</v>
      </c>
    </row>
    <row r="423" spans="1:13" x14ac:dyDescent="0.25">
      <c r="A423" t="s">
        <v>455</v>
      </c>
      <c r="B423" s="1">
        <v>45960</v>
      </c>
      <c r="C423" t="s">
        <v>10</v>
      </c>
      <c r="D423" t="s">
        <v>29</v>
      </c>
      <c r="E423" t="s">
        <v>31</v>
      </c>
      <c r="F423" t="s">
        <v>32</v>
      </c>
      <c r="G423">
        <v>6</v>
      </c>
      <c r="H423">
        <v>1200</v>
      </c>
      <c r="I423">
        <v>550</v>
      </c>
      <c r="J423">
        <f t="shared" si="24"/>
        <v>7200</v>
      </c>
      <c r="K423">
        <f t="shared" si="25"/>
        <v>3300</v>
      </c>
      <c r="L423">
        <f t="shared" si="26"/>
        <v>3900</v>
      </c>
      <c r="M423" s="9">
        <f t="shared" si="27"/>
        <v>0.54166666666666663</v>
      </c>
    </row>
    <row r="424" spans="1:13" x14ac:dyDescent="0.25">
      <c r="A424" t="s">
        <v>456</v>
      </c>
      <c r="B424" s="1">
        <v>45960</v>
      </c>
      <c r="C424" t="s">
        <v>39</v>
      </c>
      <c r="D424" t="s">
        <v>37</v>
      </c>
      <c r="E424" t="s">
        <v>31</v>
      </c>
      <c r="F424" t="s">
        <v>32</v>
      </c>
      <c r="G424">
        <v>5</v>
      </c>
      <c r="H424">
        <v>1200</v>
      </c>
      <c r="I424">
        <v>550</v>
      </c>
      <c r="J424">
        <f t="shared" si="24"/>
        <v>6000</v>
      </c>
      <c r="K424">
        <f t="shared" si="25"/>
        <v>2750</v>
      </c>
      <c r="L424">
        <f t="shared" si="26"/>
        <v>3250</v>
      </c>
      <c r="M424" s="9">
        <f t="shared" si="27"/>
        <v>0.54166666666666663</v>
      </c>
    </row>
    <row r="425" spans="1:13" x14ac:dyDescent="0.25">
      <c r="A425" t="s">
        <v>457</v>
      </c>
      <c r="B425" s="1">
        <v>45961</v>
      </c>
      <c r="C425" t="s">
        <v>20</v>
      </c>
      <c r="D425" t="s">
        <v>26</v>
      </c>
      <c r="E425" t="s">
        <v>22</v>
      </c>
      <c r="F425" t="s">
        <v>23</v>
      </c>
      <c r="G425">
        <v>1</v>
      </c>
      <c r="H425">
        <v>18900</v>
      </c>
      <c r="I425">
        <v>13500</v>
      </c>
      <c r="J425">
        <f t="shared" si="24"/>
        <v>18900</v>
      </c>
      <c r="K425">
        <f t="shared" si="25"/>
        <v>13500</v>
      </c>
      <c r="L425">
        <f t="shared" si="26"/>
        <v>5400</v>
      </c>
      <c r="M425" s="9">
        <f t="shared" si="27"/>
        <v>0.2857142857142857</v>
      </c>
    </row>
    <row r="426" spans="1:13" x14ac:dyDescent="0.25">
      <c r="A426" t="s">
        <v>458</v>
      </c>
      <c r="B426" s="1">
        <v>45961</v>
      </c>
      <c r="C426" t="s">
        <v>20</v>
      </c>
      <c r="D426" t="s">
        <v>37</v>
      </c>
      <c r="E426" t="s">
        <v>43</v>
      </c>
      <c r="F426" t="s">
        <v>13</v>
      </c>
      <c r="G426">
        <v>3</v>
      </c>
      <c r="H426">
        <v>12500</v>
      </c>
      <c r="I426">
        <v>8500</v>
      </c>
      <c r="J426">
        <f t="shared" si="24"/>
        <v>37500</v>
      </c>
      <c r="K426">
        <f t="shared" si="25"/>
        <v>25500</v>
      </c>
      <c r="L426">
        <f t="shared" si="26"/>
        <v>12000</v>
      </c>
      <c r="M426" s="9">
        <f t="shared" si="27"/>
        <v>0.32</v>
      </c>
    </row>
    <row r="427" spans="1:13" x14ac:dyDescent="0.25">
      <c r="A427" t="s">
        <v>459</v>
      </c>
      <c r="B427" s="1">
        <v>45961</v>
      </c>
      <c r="C427" t="s">
        <v>25</v>
      </c>
      <c r="D427" t="s">
        <v>21</v>
      </c>
      <c r="E427" t="s">
        <v>59</v>
      </c>
      <c r="F427" t="s">
        <v>32</v>
      </c>
      <c r="G427">
        <v>1</v>
      </c>
      <c r="H427">
        <v>900</v>
      </c>
      <c r="I427">
        <v>400</v>
      </c>
      <c r="J427">
        <f t="shared" si="24"/>
        <v>900</v>
      </c>
      <c r="K427">
        <f t="shared" si="25"/>
        <v>400</v>
      </c>
      <c r="L427">
        <f t="shared" si="26"/>
        <v>500</v>
      </c>
      <c r="M427" s="9">
        <f t="shared" si="27"/>
        <v>0.55555555555555558</v>
      </c>
    </row>
    <row r="428" spans="1:13" x14ac:dyDescent="0.25">
      <c r="A428" t="s">
        <v>460</v>
      </c>
      <c r="B428" s="1">
        <v>45961</v>
      </c>
      <c r="C428" t="s">
        <v>15</v>
      </c>
      <c r="D428" t="s">
        <v>16</v>
      </c>
      <c r="E428" t="s">
        <v>31</v>
      </c>
      <c r="F428" t="s">
        <v>32</v>
      </c>
      <c r="G428">
        <v>6</v>
      </c>
      <c r="H428">
        <v>1200</v>
      </c>
      <c r="I428">
        <v>550</v>
      </c>
      <c r="J428">
        <f t="shared" si="24"/>
        <v>7200</v>
      </c>
      <c r="K428">
        <f t="shared" si="25"/>
        <v>3300</v>
      </c>
      <c r="L428">
        <f t="shared" si="26"/>
        <v>3900</v>
      </c>
      <c r="M428" s="9">
        <f t="shared" si="27"/>
        <v>0.54166666666666663</v>
      </c>
    </row>
    <row r="429" spans="1:13" x14ac:dyDescent="0.25">
      <c r="A429" t="s">
        <v>461</v>
      </c>
      <c r="B429" s="1">
        <v>45964</v>
      </c>
      <c r="C429" t="s">
        <v>15</v>
      </c>
      <c r="D429" t="s">
        <v>29</v>
      </c>
      <c r="E429" t="s">
        <v>50</v>
      </c>
      <c r="F429" t="s">
        <v>18</v>
      </c>
      <c r="G429">
        <v>4</v>
      </c>
      <c r="H429">
        <v>24000</v>
      </c>
      <c r="I429">
        <v>18500</v>
      </c>
      <c r="J429">
        <f t="shared" si="24"/>
        <v>96000</v>
      </c>
      <c r="K429">
        <f t="shared" si="25"/>
        <v>74000</v>
      </c>
      <c r="L429">
        <f t="shared" si="26"/>
        <v>22000</v>
      </c>
      <c r="M429" s="9">
        <f t="shared" si="27"/>
        <v>0.22916666666666666</v>
      </c>
    </row>
    <row r="430" spans="1:13" x14ac:dyDescent="0.25">
      <c r="A430" t="s">
        <v>462</v>
      </c>
      <c r="B430" s="1">
        <v>45964</v>
      </c>
      <c r="C430" t="s">
        <v>20</v>
      </c>
      <c r="D430" t="s">
        <v>37</v>
      </c>
      <c r="E430" t="s">
        <v>35</v>
      </c>
      <c r="F430" t="s">
        <v>32</v>
      </c>
      <c r="G430">
        <v>4</v>
      </c>
      <c r="H430">
        <v>2625</v>
      </c>
      <c r="I430">
        <v>1300</v>
      </c>
      <c r="J430">
        <f t="shared" si="24"/>
        <v>10500</v>
      </c>
      <c r="K430">
        <f t="shared" si="25"/>
        <v>5200</v>
      </c>
      <c r="L430">
        <f t="shared" si="26"/>
        <v>5300</v>
      </c>
      <c r="M430" s="9">
        <f t="shared" si="27"/>
        <v>0.50476190476190474</v>
      </c>
    </row>
    <row r="431" spans="1:13" x14ac:dyDescent="0.25">
      <c r="A431" t="s">
        <v>463</v>
      </c>
      <c r="B431" s="1">
        <v>45965</v>
      </c>
      <c r="C431" t="s">
        <v>25</v>
      </c>
      <c r="D431" t="s">
        <v>21</v>
      </c>
      <c r="E431" t="s">
        <v>22</v>
      </c>
      <c r="F431" t="s">
        <v>23</v>
      </c>
      <c r="G431">
        <v>3</v>
      </c>
      <c r="H431">
        <v>18000</v>
      </c>
      <c r="I431">
        <v>13500</v>
      </c>
      <c r="J431">
        <f t="shared" si="24"/>
        <v>54000</v>
      </c>
      <c r="K431">
        <f t="shared" si="25"/>
        <v>40500</v>
      </c>
      <c r="L431">
        <f t="shared" si="26"/>
        <v>13500</v>
      </c>
      <c r="M431" s="9">
        <f t="shared" si="27"/>
        <v>0.25</v>
      </c>
    </row>
    <row r="432" spans="1:13" x14ac:dyDescent="0.25">
      <c r="A432" t="s">
        <v>464</v>
      </c>
      <c r="B432" s="1">
        <v>45966</v>
      </c>
      <c r="C432" t="s">
        <v>39</v>
      </c>
      <c r="D432" t="s">
        <v>16</v>
      </c>
      <c r="E432" t="s">
        <v>17</v>
      </c>
      <c r="F432" t="s">
        <v>18</v>
      </c>
      <c r="G432">
        <v>8</v>
      </c>
      <c r="H432">
        <v>450</v>
      </c>
      <c r="I432">
        <v>230</v>
      </c>
      <c r="J432">
        <f t="shared" si="24"/>
        <v>3600</v>
      </c>
      <c r="K432">
        <f t="shared" si="25"/>
        <v>1840</v>
      </c>
      <c r="L432">
        <f t="shared" si="26"/>
        <v>1760</v>
      </c>
      <c r="M432" s="9">
        <f t="shared" si="27"/>
        <v>0.48888888888888887</v>
      </c>
    </row>
    <row r="433" spans="1:13" x14ac:dyDescent="0.25">
      <c r="A433" t="s">
        <v>465</v>
      </c>
      <c r="B433" s="1">
        <v>45967</v>
      </c>
      <c r="C433" t="s">
        <v>15</v>
      </c>
      <c r="D433" t="s">
        <v>16</v>
      </c>
      <c r="E433" t="s">
        <v>12</v>
      </c>
      <c r="F433" t="s">
        <v>13</v>
      </c>
      <c r="G433">
        <v>5</v>
      </c>
      <c r="H433">
        <v>22000</v>
      </c>
      <c r="I433">
        <v>15500</v>
      </c>
      <c r="J433">
        <f t="shared" si="24"/>
        <v>110000</v>
      </c>
      <c r="K433">
        <f t="shared" si="25"/>
        <v>77500</v>
      </c>
      <c r="L433">
        <f t="shared" si="26"/>
        <v>32500</v>
      </c>
      <c r="M433" s="9">
        <f t="shared" si="27"/>
        <v>0.29545454545454547</v>
      </c>
    </row>
    <row r="434" spans="1:13" x14ac:dyDescent="0.25">
      <c r="A434" t="s">
        <v>466</v>
      </c>
      <c r="B434" s="1">
        <v>45968</v>
      </c>
      <c r="C434" t="s">
        <v>25</v>
      </c>
      <c r="D434" t="s">
        <v>16</v>
      </c>
      <c r="E434" t="s">
        <v>35</v>
      </c>
      <c r="F434" t="s">
        <v>32</v>
      </c>
      <c r="G434">
        <v>3</v>
      </c>
      <c r="H434">
        <v>2500</v>
      </c>
      <c r="I434">
        <v>1300</v>
      </c>
      <c r="J434">
        <f t="shared" si="24"/>
        <v>7500</v>
      </c>
      <c r="K434">
        <f t="shared" si="25"/>
        <v>3900</v>
      </c>
      <c r="L434">
        <f t="shared" si="26"/>
        <v>3600</v>
      </c>
      <c r="M434" s="9">
        <f t="shared" si="27"/>
        <v>0.48</v>
      </c>
    </row>
    <row r="435" spans="1:13" x14ac:dyDescent="0.25">
      <c r="A435" t="s">
        <v>467</v>
      </c>
      <c r="B435" s="1">
        <v>45969</v>
      </c>
      <c r="C435" t="s">
        <v>20</v>
      </c>
      <c r="D435" t="s">
        <v>37</v>
      </c>
      <c r="E435" t="s">
        <v>12</v>
      </c>
      <c r="F435" t="s">
        <v>13</v>
      </c>
      <c r="G435">
        <v>2</v>
      </c>
      <c r="H435">
        <v>22000</v>
      </c>
      <c r="I435">
        <v>15500</v>
      </c>
      <c r="J435">
        <f t="shared" si="24"/>
        <v>44000</v>
      </c>
      <c r="K435">
        <f t="shared" si="25"/>
        <v>31000</v>
      </c>
      <c r="L435">
        <f t="shared" si="26"/>
        <v>13000</v>
      </c>
      <c r="M435" s="9">
        <f t="shared" si="27"/>
        <v>0.29545454545454547</v>
      </c>
    </row>
    <row r="436" spans="1:13" x14ac:dyDescent="0.25">
      <c r="A436" t="s">
        <v>468</v>
      </c>
      <c r="B436" s="1">
        <v>45970</v>
      </c>
      <c r="C436" t="s">
        <v>10</v>
      </c>
      <c r="D436" t="s">
        <v>29</v>
      </c>
      <c r="E436" t="s">
        <v>22</v>
      </c>
      <c r="F436" t="s">
        <v>23</v>
      </c>
      <c r="G436">
        <v>6</v>
      </c>
      <c r="H436">
        <v>18900</v>
      </c>
      <c r="I436">
        <v>13500</v>
      </c>
      <c r="J436">
        <f t="shared" si="24"/>
        <v>113400</v>
      </c>
      <c r="K436">
        <f t="shared" si="25"/>
        <v>81000</v>
      </c>
      <c r="L436">
        <f t="shared" si="26"/>
        <v>32400</v>
      </c>
      <c r="M436" s="9">
        <f t="shared" si="27"/>
        <v>0.2857142857142857</v>
      </c>
    </row>
    <row r="437" spans="1:13" x14ac:dyDescent="0.25">
      <c r="A437" t="s">
        <v>469</v>
      </c>
      <c r="B437" s="1">
        <v>45970</v>
      </c>
      <c r="C437" t="s">
        <v>39</v>
      </c>
      <c r="D437" t="s">
        <v>26</v>
      </c>
      <c r="E437" t="s">
        <v>35</v>
      </c>
      <c r="F437" t="s">
        <v>32</v>
      </c>
      <c r="G437">
        <v>4</v>
      </c>
      <c r="H437">
        <v>2625</v>
      </c>
      <c r="I437">
        <v>1300</v>
      </c>
      <c r="J437">
        <f t="shared" si="24"/>
        <v>10500</v>
      </c>
      <c r="K437">
        <f t="shared" si="25"/>
        <v>5200</v>
      </c>
      <c r="L437">
        <f t="shared" si="26"/>
        <v>5300</v>
      </c>
      <c r="M437" s="9">
        <f t="shared" si="27"/>
        <v>0.50476190476190474</v>
      </c>
    </row>
    <row r="438" spans="1:13" x14ac:dyDescent="0.25">
      <c r="A438" t="s">
        <v>470</v>
      </c>
      <c r="B438" s="1">
        <v>45970</v>
      </c>
      <c r="C438" t="s">
        <v>25</v>
      </c>
      <c r="D438" t="s">
        <v>11</v>
      </c>
      <c r="E438" t="s">
        <v>43</v>
      </c>
      <c r="F438" t="s">
        <v>13</v>
      </c>
      <c r="G438">
        <v>5</v>
      </c>
      <c r="H438">
        <v>12500</v>
      </c>
      <c r="I438">
        <v>8500</v>
      </c>
      <c r="J438">
        <f t="shared" si="24"/>
        <v>62500</v>
      </c>
      <c r="K438">
        <f t="shared" si="25"/>
        <v>42500</v>
      </c>
      <c r="L438">
        <f t="shared" si="26"/>
        <v>20000</v>
      </c>
      <c r="M438" s="9">
        <f t="shared" si="27"/>
        <v>0.32</v>
      </c>
    </row>
    <row r="439" spans="1:13" x14ac:dyDescent="0.25">
      <c r="A439" t="s">
        <v>471</v>
      </c>
      <c r="B439" s="1">
        <v>45971</v>
      </c>
      <c r="C439" t="s">
        <v>15</v>
      </c>
      <c r="D439" t="s">
        <v>26</v>
      </c>
      <c r="E439" t="s">
        <v>78</v>
      </c>
      <c r="F439" t="s">
        <v>23</v>
      </c>
      <c r="G439">
        <v>1</v>
      </c>
      <c r="H439">
        <v>68250</v>
      </c>
      <c r="I439">
        <v>52000</v>
      </c>
      <c r="J439">
        <f t="shared" si="24"/>
        <v>68250</v>
      </c>
      <c r="K439">
        <f t="shared" si="25"/>
        <v>52000</v>
      </c>
      <c r="L439">
        <f t="shared" si="26"/>
        <v>16250</v>
      </c>
      <c r="M439" s="9">
        <f t="shared" si="27"/>
        <v>0.23809523809523808</v>
      </c>
    </row>
    <row r="440" spans="1:13" x14ac:dyDescent="0.25">
      <c r="A440" t="s">
        <v>472</v>
      </c>
      <c r="B440" s="1">
        <v>45971</v>
      </c>
      <c r="C440" t="s">
        <v>20</v>
      </c>
      <c r="D440" t="s">
        <v>29</v>
      </c>
      <c r="E440" t="s">
        <v>78</v>
      </c>
      <c r="F440" t="s">
        <v>23</v>
      </c>
      <c r="G440">
        <v>2</v>
      </c>
      <c r="H440">
        <v>58500</v>
      </c>
      <c r="I440">
        <v>52000</v>
      </c>
      <c r="J440">
        <f t="shared" si="24"/>
        <v>117000</v>
      </c>
      <c r="K440">
        <f t="shared" si="25"/>
        <v>104000</v>
      </c>
      <c r="L440">
        <f t="shared" si="26"/>
        <v>13000</v>
      </c>
      <c r="M440" s="9">
        <f t="shared" si="27"/>
        <v>0.1111111111111111</v>
      </c>
    </row>
    <row r="441" spans="1:13" x14ac:dyDescent="0.25">
      <c r="A441" t="s">
        <v>473</v>
      </c>
      <c r="B441" s="1">
        <v>45973</v>
      </c>
      <c r="C441" t="s">
        <v>15</v>
      </c>
      <c r="D441" t="s">
        <v>16</v>
      </c>
      <c r="E441" t="s">
        <v>59</v>
      </c>
      <c r="F441" t="s">
        <v>32</v>
      </c>
      <c r="G441">
        <v>2</v>
      </c>
      <c r="H441">
        <v>900</v>
      </c>
      <c r="I441">
        <v>400</v>
      </c>
      <c r="J441">
        <f t="shared" si="24"/>
        <v>1800</v>
      </c>
      <c r="K441">
        <f t="shared" si="25"/>
        <v>800</v>
      </c>
      <c r="L441">
        <f t="shared" si="26"/>
        <v>1000</v>
      </c>
      <c r="M441" s="9">
        <f t="shared" si="27"/>
        <v>0.55555555555555558</v>
      </c>
    </row>
    <row r="442" spans="1:13" x14ac:dyDescent="0.25">
      <c r="A442" t="s">
        <v>474</v>
      </c>
      <c r="B442" s="1">
        <v>45974</v>
      </c>
      <c r="C442" t="s">
        <v>10</v>
      </c>
      <c r="D442" t="s">
        <v>21</v>
      </c>
      <c r="E442" t="s">
        <v>27</v>
      </c>
      <c r="F442" t="s">
        <v>23</v>
      </c>
      <c r="G442">
        <v>8</v>
      </c>
      <c r="H442">
        <v>4500</v>
      </c>
      <c r="I442">
        <v>2800</v>
      </c>
      <c r="J442">
        <f t="shared" si="24"/>
        <v>36000</v>
      </c>
      <c r="K442">
        <f t="shared" si="25"/>
        <v>22400</v>
      </c>
      <c r="L442">
        <f t="shared" si="26"/>
        <v>13600</v>
      </c>
      <c r="M442" s="9">
        <f t="shared" si="27"/>
        <v>0.37777777777777777</v>
      </c>
    </row>
    <row r="443" spans="1:13" x14ac:dyDescent="0.25">
      <c r="A443" t="s">
        <v>475</v>
      </c>
      <c r="B443" s="1">
        <v>45977</v>
      </c>
      <c r="C443" t="s">
        <v>15</v>
      </c>
      <c r="D443" t="s">
        <v>16</v>
      </c>
      <c r="E443" t="s">
        <v>31</v>
      </c>
      <c r="F443" t="s">
        <v>32</v>
      </c>
      <c r="G443">
        <v>8</v>
      </c>
      <c r="H443">
        <v>1200</v>
      </c>
      <c r="I443">
        <v>550</v>
      </c>
      <c r="J443">
        <f t="shared" si="24"/>
        <v>9600</v>
      </c>
      <c r="K443">
        <f t="shared" si="25"/>
        <v>4400</v>
      </c>
      <c r="L443">
        <f t="shared" si="26"/>
        <v>5200</v>
      </c>
      <c r="M443" s="9">
        <f t="shared" si="27"/>
        <v>0.54166666666666663</v>
      </c>
    </row>
    <row r="444" spans="1:13" x14ac:dyDescent="0.25">
      <c r="A444" t="s">
        <v>476</v>
      </c>
      <c r="B444" s="1">
        <v>45981</v>
      </c>
      <c r="C444" t="s">
        <v>25</v>
      </c>
      <c r="D444" t="s">
        <v>37</v>
      </c>
      <c r="E444" t="s">
        <v>17</v>
      </c>
      <c r="F444" t="s">
        <v>18</v>
      </c>
      <c r="G444">
        <v>8</v>
      </c>
      <c r="H444">
        <v>450</v>
      </c>
      <c r="I444">
        <v>230</v>
      </c>
      <c r="J444">
        <f t="shared" si="24"/>
        <v>3600</v>
      </c>
      <c r="K444">
        <f t="shared" si="25"/>
        <v>1840</v>
      </c>
      <c r="L444">
        <f t="shared" si="26"/>
        <v>1760</v>
      </c>
      <c r="M444" s="9">
        <f t="shared" si="27"/>
        <v>0.48888888888888887</v>
      </c>
    </row>
    <row r="445" spans="1:13" x14ac:dyDescent="0.25">
      <c r="A445" t="s">
        <v>477</v>
      </c>
      <c r="B445" s="1">
        <v>45982</v>
      </c>
      <c r="C445" t="s">
        <v>39</v>
      </c>
      <c r="D445" t="s">
        <v>16</v>
      </c>
      <c r="E445" t="s">
        <v>17</v>
      </c>
      <c r="F445" t="s">
        <v>18</v>
      </c>
      <c r="G445">
        <v>7</v>
      </c>
      <c r="H445">
        <v>450</v>
      </c>
      <c r="I445">
        <v>230</v>
      </c>
      <c r="J445">
        <f t="shared" si="24"/>
        <v>3150</v>
      </c>
      <c r="K445">
        <f t="shared" si="25"/>
        <v>1610</v>
      </c>
      <c r="L445">
        <f t="shared" si="26"/>
        <v>1540</v>
      </c>
      <c r="M445" s="9">
        <f t="shared" si="27"/>
        <v>0.48888888888888887</v>
      </c>
    </row>
    <row r="446" spans="1:13" x14ac:dyDescent="0.25">
      <c r="A446" t="s">
        <v>478</v>
      </c>
      <c r="B446" s="1">
        <v>45983</v>
      </c>
      <c r="C446" t="s">
        <v>20</v>
      </c>
      <c r="D446" t="s">
        <v>11</v>
      </c>
      <c r="E446" t="s">
        <v>22</v>
      </c>
      <c r="F446" t="s">
        <v>23</v>
      </c>
      <c r="G446">
        <v>3</v>
      </c>
      <c r="H446">
        <v>18000</v>
      </c>
      <c r="I446">
        <v>13500</v>
      </c>
      <c r="J446">
        <f t="shared" si="24"/>
        <v>54000</v>
      </c>
      <c r="K446">
        <f t="shared" si="25"/>
        <v>40500</v>
      </c>
      <c r="L446">
        <f t="shared" si="26"/>
        <v>13500</v>
      </c>
      <c r="M446" s="9">
        <f t="shared" si="27"/>
        <v>0.25</v>
      </c>
    </row>
    <row r="447" spans="1:13" x14ac:dyDescent="0.25">
      <c r="A447" t="s">
        <v>479</v>
      </c>
      <c r="B447" s="1">
        <v>45983</v>
      </c>
      <c r="C447" t="s">
        <v>39</v>
      </c>
      <c r="D447" t="s">
        <v>37</v>
      </c>
      <c r="E447" t="s">
        <v>50</v>
      </c>
      <c r="F447" t="s">
        <v>18</v>
      </c>
      <c r="G447">
        <v>3</v>
      </c>
      <c r="H447">
        <v>24000</v>
      </c>
      <c r="I447">
        <v>18500</v>
      </c>
      <c r="J447">
        <f t="shared" si="24"/>
        <v>72000</v>
      </c>
      <c r="K447">
        <f t="shared" si="25"/>
        <v>55500</v>
      </c>
      <c r="L447">
        <f t="shared" si="26"/>
        <v>16500</v>
      </c>
      <c r="M447" s="9">
        <f t="shared" si="27"/>
        <v>0.22916666666666666</v>
      </c>
    </row>
    <row r="448" spans="1:13" x14ac:dyDescent="0.25">
      <c r="A448" t="s">
        <v>480</v>
      </c>
      <c r="B448" s="1">
        <v>45983</v>
      </c>
      <c r="C448" t="s">
        <v>15</v>
      </c>
      <c r="D448" t="s">
        <v>37</v>
      </c>
      <c r="E448" t="s">
        <v>17</v>
      </c>
      <c r="F448" t="s">
        <v>18</v>
      </c>
      <c r="G448">
        <v>5</v>
      </c>
      <c r="H448">
        <v>472.5</v>
      </c>
      <c r="I448">
        <v>230</v>
      </c>
      <c r="J448">
        <f t="shared" si="24"/>
        <v>2362.5</v>
      </c>
      <c r="K448">
        <f t="shared" si="25"/>
        <v>1150</v>
      </c>
      <c r="L448">
        <f t="shared" si="26"/>
        <v>1212.5</v>
      </c>
      <c r="M448" s="9">
        <f t="shared" si="27"/>
        <v>0.51322751322751325</v>
      </c>
    </row>
    <row r="449" spans="1:13" x14ac:dyDescent="0.25">
      <c r="A449" t="s">
        <v>481</v>
      </c>
      <c r="B449" s="1">
        <v>45983</v>
      </c>
      <c r="C449" t="s">
        <v>39</v>
      </c>
      <c r="D449" t="s">
        <v>37</v>
      </c>
      <c r="E449" t="s">
        <v>59</v>
      </c>
      <c r="F449" t="s">
        <v>32</v>
      </c>
      <c r="G449">
        <v>2</v>
      </c>
      <c r="H449">
        <v>900</v>
      </c>
      <c r="I449">
        <v>400</v>
      </c>
      <c r="J449">
        <f t="shared" si="24"/>
        <v>1800</v>
      </c>
      <c r="K449">
        <f t="shared" si="25"/>
        <v>800</v>
      </c>
      <c r="L449">
        <f t="shared" si="26"/>
        <v>1000</v>
      </c>
      <c r="M449" s="9">
        <f t="shared" si="27"/>
        <v>0.55555555555555558</v>
      </c>
    </row>
    <row r="450" spans="1:13" x14ac:dyDescent="0.25">
      <c r="A450" t="s">
        <v>482</v>
      </c>
      <c r="B450" s="1">
        <v>45984</v>
      </c>
      <c r="C450" t="s">
        <v>10</v>
      </c>
      <c r="D450" t="s">
        <v>37</v>
      </c>
      <c r="E450" t="s">
        <v>31</v>
      </c>
      <c r="F450" t="s">
        <v>32</v>
      </c>
      <c r="G450">
        <v>3</v>
      </c>
      <c r="H450">
        <v>1200</v>
      </c>
      <c r="I450">
        <v>550</v>
      </c>
      <c r="J450">
        <f t="shared" ref="J450:J501" si="28">G450*H450</f>
        <v>3600</v>
      </c>
      <c r="K450">
        <f t="shared" ref="K450:K501" si="29">G450*I450</f>
        <v>1650</v>
      </c>
      <c r="L450">
        <f t="shared" ref="L450:L501" si="30">J450-K450</f>
        <v>1950</v>
      </c>
      <c r="M450" s="9">
        <f t="shared" si="27"/>
        <v>0.54166666666666663</v>
      </c>
    </row>
    <row r="451" spans="1:13" x14ac:dyDescent="0.25">
      <c r="A451" t="s">
        <v>483</v>
      </c>
      <c r="B451" s="1">
        <v>45985</v>
      </c>
      <c r="C451" t="s">
        <v>39</v>
      </c>
      <c r="D451" t="s">
        <v>21</v>
      </c>
      <c r="E451" t="s">
        <v>59</v>
      </c>
      <c r="F451" t="s">
        <v>32</v>
      </c>
      <c r="G451">
        <v>6</v>
      </c>
      <c r="H451">
        <v>900</v>
      </c>
      <c r="I451">
        <v>400</v>
      </c>
      <c r="J451">
        <f t="shared" si="28"/>
        <v>5400</v>
      </c>
      <c r="K451">
        <f t="shared" si="29"/>
        <v>2400</v>
      </c>
      <c r="L451">
        <f t="shared" si="30"/>
        <v>3000</v>
      </c>
      <c r="M451" s="9">
        <f t="shared" ref="M451:M501" si="31">(J451-K451)/J451</f>
        <v>0.55555555555555558</v>
      </c>
    </row>
    <row r="452" spans="1:13" x14ac:dyDescent="0.25">
      <c r="A452" t="s">
        <v>484</v>
      </c>
      <c r="B452" s="1">
        <v>45985</v>
      </c>
      <c r="C452" t="s">
        <v>20</v>
      </c>
      <c r="D452" t="s">
        <v>29</v>
      </c>
      <c r="E452" t="s">
        <v>22</v>
      </c>
      <c r="F452" t="s">
        <v>23</v>
      </c>
      <c r="G452">
        <v>5</v>
      </c>
      <c r="H452">
        <v>18000</v>
      </c>
      <c r="I452">
        <v>13500</v>
      </c>
      <c r="J452">
        <f t="shared" si="28"/>
        <v>90000</v>
      </c>
      <c r="K452">
        <f t="shared" si="29"/>
        <v>67500</v>
      </c>
      <c r="L452">
        <f t="shared" si="30"/>
        <v>22500</v>
      </c>
      <c r="M452" s="9">
        <f t="shared" si="31"/>
        <v>0.25</v>
      </c>
    </row>
    <row r="453" spans="1:13" x14ac:dyDescent="0.25">
      <c r="A453" t="s">
        <v>485</v>
      </c>
      <c r="B453" s="1">
        <v>45986</v>
      </c>
      <c r="C453" t="s">
        <v>25</v>
      </c>
      <c r="D453" t="s">
        <v>21</v>
      </c>
      <c r="E453" t="s">
        <v>22</v>
      </c>
      <c r="F453" t="s">
        <v>23</v>
      </c>
      <c r="G453">
        <v>3</v>
      </c>
      <c r="H453">
        <v>19800</v>
      </c>
      <c r="I453">
        <v>13500</v>
      </c>
      <c r="J453">
        <f t="shared" si="28"/>
        <v>59400</v>
      </c>
      <c r="K453">
        <f t="shared" si="29"/>
        <v>40500</v>
      </c>
      <c r="L453">
        <f t="shared" si="30"/>
        <v>18900</v>
      </c>
      <c r="M453" s="9">
        <f t="shared" si="31"/>
        <v>0.31818181818181818</v>
      </c>
    </row>
    <row r="454" spans="1:13" x14ac:dyDescent="0.25">
      <c r="A454" t="s">
        <v>486</v>
      </c>
      <c r="B454" s="1">
        <v>45987</v>
      </c>
      <c r="C454" t="s">
        <v>10</v>
      </c>
      <c r="D454" t="s">
        <v>11</v>
      </c>
      <c r="E454" t="s">
        <v>43</v>
      </c>
      <c r="F454" t="s">
        <v>13</v>
      </c>
      <c r="G454">
        <v>3</v>
      </c>
      <c r="H454">
        <v>12500</v>
      </c>
      <c r="I454">
        <v>8500</v>
      </c>
      <c r="J454">
        <f t="shared" si="28"/>
        <v>37500</v>
      </c>
      <c r="K454">
        <f t="shared" si="29"/>
        <v>25500</v>
      </c>
      <c r="L454">
        <f t="shared" si="30"/>
        <v>12000</v>
      </c>
      <c r="M454" s="9">
        <f t="shared" si="31"/>
        <v>0.32</v>
      </c>
    </row>
    <row r="455" spans="1:13" x14ac:dyDescent="0.25">
      <c r="A455" t="s">
        <v>487</v>
      </c>
      <c r="B455" s="1">
        <v>45988</v>
      </c>
      <c r="C455" t="s">
        <v>39</v>
      </c>
      <c r="D455" t="s">
        <v>29</v>
      </c>
      <c r="E455" t="s">
        <v>35</v>
      </c>
      <c r="F455" t="s">
        <v>32</v>
      </c>
      <c r="G455">
        <v>4</v>
      </c>
      <c r="H455">
        <v>2500</v>
      </c>
      <c r="I455">
        <v>1300</v>
      </c>
      <c r="J455">
        <f t="shared" si="28"/>
        <v>10000</v>
      </c>
      <c r="K455">
        <f t="shared" si="29"/>
        <v>5200</v>
      </c>
      <c r="L455">
        <f t="shared" si="30"/>
        <v>4800</v>
      </c>
      <c r="M455" s="9">
        <f t="shared" si="31"/>
        <v>0.48</v>
      </c>
    </row>
    <row r="456" spans="1:13" x14ac:dyDescent="0.25">
      <c r="A456" t="s">
        <v>488</v>
      </c>
      <c r="B456" s="1">
        <v>45988</v>
      </c>
      <c r="C456" t="s">
        <v>25</v>
      </c>
      <c r="D456" t="s">
        <v>29</v>
      </c>
      <c r="E456" t="s">
        <v>31</v>
      </c>
      <c r="F456" t="s">
        <v>32</v>
      </c>
      <c r="G456">
        <v>2</v>
      </c>
      <c r="H456">
        <v>1200</v>
      </c>
      <c r="I456">
        <v>550</v>
      </c>
      <c r="J456">
        <f t="shared" si="28"/>
        <v>2400</v>
      </c>
      <c r="K456">
        <f t="shared" si="29"/>
        <v>1100</v>
      </c>
      <c r="L456">
        <f t="shared" si="30"/>
        <v>1300</v>
      </c>
      <c r="M456" s="9">
        <f t="shared" si="31"/>
        <v>0.54166666666666663</v>
      </c>
    </row>
    <row r="457" spans="1:13" x14ac:dyDescent="0.25">
      <c r="A457" t="s">
        <v>489</v>
      </c>
      <c r="B457" s="1">
        <v>45989</v>
      </c>
      <c r="C457" t="s">
        <v>15</v>
      </c>
      <c r="D457" t="s">
        <v>11</v>
      </c>
      <c r="E457" t="s">
        <v>35</v>
      </c>
      <c r="F457" t="s">
        <v>32</v>
      </c>
      <c r="G457">
        <v>3</v>
      </c>
      <c r="H457">
        <v>2625</v>
      </c>
      <c r="I457">
        <v>1300</v>
      </c>
      <c r="J457">
        <f t="shared" si="28"/>
        <v>7875</v>
      </c>
      <c r="K457">
        <f t="shared" si="29"/>
        <v>3900</v>
      </c>
      <c r="L457">
        <f t="shared" si="30"/>
        <v>3975</v>
      </c>
      <c r="M457" s="9">
        <f t="shared" si="31"/>
        <v>0.50476190476190474</v>
      </c>
    </row>
    <row r="458" spans="1:13" x14ac:dyDescent="0.25">
      <c r="A458" t="s">
        <v>490</v>
      </c>
      <c r="B458" s="1">
        <v>45992</v>
      </c>
      <c r="C458" t="s">
        <v>39</v>
      </c>
      <c r="D458" t="s">
        <v>37</v>
      </c>
      <c r="E458" t="s">
        <v>31</v>
      </c>
      <c r="F458" t="s">
        <v>32</v>
      </c>
      <c r="G458">
        <v>4</v>
      </c>
      <c r="H458">
        <v>1200</v>
      </c>
      <c r="I458">
        <v>550</v>
      </c>
      <c r="J458">
        <f t="shared" si="28"/>
        <v>4800</v>
      </c>
      <c r="K458">
        <f t="shared" si="29"/>
        <v>2200</v>
      </c>
      <c r="L458">
        <f t="shared" si="30"/>
        <v>2600</v>
      </c>
      <c r="M458" s="9">
        <f t="shared" si="31"/>
        <v>0.54166666666666663</v>
      </c>
    </row>
    <row r="459" spans="1:13" x14ac:dyDescent="0.25">
      <c r="A459" t="s">
        <v>491</v>
      </c>
      <c r="B459" s="1">
        <v>45992</v>
      </c>
      <c r="C459" t="s">
        <v>25</v>
      </c>
      <c r="D459" t="s">
        <v>29</v>
      </c>
      <c r="E459" t="s">
        <v>31</v>
      </c>
      <c r="F459" t="s">
        <v>32</v>
      </c>
      <c r="G459">
        <v>2</v>
      </c>
      <c r="H459">
        <v>1200</v>
      </c>
      <c r="I459">
        <v>550</v>
      </c>
      <c r="J459">
        <f t="shared" si="28"/>
        <v>2400</v>
      </c>
      <c r="K459">
        <f t="shared" si="29"/>
        <v>1100</v>
      </c>
      <c r="L459">
        <f t="shared" si="30"/>
        <v>1300</v>
      </c>
      <c r="M459" s="9">
        <f t="shared" si="31"/>
        <v>0.54166666666666663</v>
      </c>
    </row>
    <row r="460" spans="1:13" x14ac:dyDescent="0.25">
      <c r="A460" t="s">
        <v>492</v>
      </c>
      <c r="B460" s="1">
        <v>45994</v>
      </c>
      <c r="C460" t="s">
        <v>15</v>
      </c>
      <c r="D460" t="s">
        <v>37</v>
      </c>
      <c r="E460" t="s">
        <v>17</v>
      </c>
      <c r="F460" t="s">
        <v>18</v>
      </c>
      <c r="G460">
        <v>5</v>
      </c>
      <c r="H460">
        <v>450</v>
      </c>
      <c r="I460">
        <v>230</v>
      </c>
      <c r="J460">
        <f t="shared" si="28"/>
        <v>2250</v>
      </c>
      <c r="K460">
        <f t="shared" si="29"/>
        <v>1150</v>
      </c>
      <c r="L460">
        <f t="shared" si="30"/>
        <v>1100</v>
      </c>
      <c r="M460" s="9">
        <f t="shared" si="31"/>
        <v>0.48888888888888887</v>
      </c>
    </row>
    <row r="461" spans="1:13" x14ac:dyDescent="0.25">
      <c r="A461" t="s">
        <v>493</v>
      </c>
      <c r="B461" s="1">
        <v>45995</v>
      </c>
      <c r="C461" t="s">
        <v>10</v>
      </c>
      <c r="D461" t="s">
        <v>29</v>
      </c>
      <c r="E461" t="s">
        <v>17</v>
      </c>
      <c r="F461" t="s">
        <v>18</v>
      </c>
      <c r="G461">
        <v>5</v>
      </c>
      <c r="H461">
        <v>472.5</v>
      </c>
      <c r="I461">
        <v>230</v>
      </c>
      <c r="J461">
        <f t="shared" si="28"/>
        <v>2362.5</v>
      </c>
      <c r="K461">
        <f t="shared" si="29"/>
        <v>1150</v>
      </c>
      <c r="L461">
        <f t="shared" si="30"/>
        <v>1212.5</v>
      </c>
      <c r="M461" s="9">
        <f t="shared" si="31"/>
        <v>0.51322751322751325</v>
      </c>
    </row>
    <row r="462" spans="1:13" x14ac:dyDescent="0.25">
      <c r="A462" t="s">
        <v>494</v>
      </c>
      <c r="B462" s="1">
        <v>45995</v>
      </c>
      <c r="C462" t="s">
        <v>25</v>
      </c>
      <c r="D462" t="s">
        <v>26</v>
      </c>
      <c r="E462" t="s">
        <v>35</v>
      </c>
      <c r="F462" t="s">
        <v>32</v>
      </c>
      <c r="G462">
        <v>1</v>
      </c>
      <c r="H462">
        <v>2750</v>
      </c>
      <c r="I462">
        <v>1300</v>
      </c>
      <c r="J462">
        <f t="shared" si="28"/>
        <v>2750</v>
      </c>
      <c r="K462">
        <f t="shared" si="29"/>
        <v>1300</v>
      </c>
      <c r="L462">
        <f t="shared" si="30"/>
        <v>1450</v>
      </c>
      <c r="M462" s="9">
        <f t="shared" si="31"/>
        <v>0.52727272727272723</v>
      </c>
    </row>
    <row r="463" spans="1:13" x14ac:dyDescent="0.25">
      <c r="A463" t="s">
        <v>495</v>
      </c>
      <c r="B463" s="1">
        <v>45996</v>
      </c>
      <c r="C463" t="s">
        <v>15</v>
      </c>
      <c r="D463" t="s">
        <v>29</v>
      </c>
      <c r="E463" t="s">
        <v>31</v>
      </c>
      <c r="F463" t="s">
        <v>32</v>
      </c>
      <c r="G463">
        <v>5</v>
      </c>
      <c r="H463">
        <v>1200</v>
      </c>
      <c r="I463">
        <v>550</v>
      </c>
      <c r="J463">
        <f t="shared" si="28"/>
        <v>6000</v>
      </c>
      <c r="K463">
        <f t="shared" si="29"/>
        <v>2750</v>
      </c>
      <c r="L463">
        <f t="shared" si="30"/>
        <v>3250</v>
      </c>
      <c r="M463" s="9">
        <f t="shared" si="31"/>
        <v>0.54166666666666663</v>
      </c>
    </row>
    <row r="464" spans="1:13" x14ac:dyDescent="0.25">
      <c r="A464" t="s">
        <v>496</v>
      </c>
      <c r="B464" s="1">
        <v>45996</v>
      </c>
      <c r="C464" t="s">
        <v>39</v>
      </c>
      <c r="D464" t="s">
        <v>37</v>
      </c>
      <c r="E464" t="s">
        <v>59</v>
      </c>
      <c r="F464" t="s">
        <v>32</v>
      </c>
      <c r="G464">
        <v>4</v>
      </c>
      <c r="H464">
        <v>945</v>
      </c>
      <c r="I464">
        <v>400</v>
      </c>
      <c r="J464">
        <f t="shared" si="28"/>
        <v>3780</v>
      </c>
      <c r="K464">
        <f t="shared" si="29"/>
        <v>1600</v>
      </c>
      <c r="L464">
        <f t="shared" si="30"/>
        <v>2180</v>
      </c>
      <c r="M464" s="9">
        <f t="shared" si="31"/>
        <v>0.57671957671957674</v>
      </c>
    </row>
    <row r="465" spans="1:13" x14ac:dyDescent="0.25">
      <c r="A465" t="s">
        <v>497</v>
      </c>
      <c r="B465" s="1">
        <v>45996</v>
      </c>
      <c r="C465" t="s">
        <v>25</v>
      </c>
      <c r="D465" t="s">
        <v>37</v>
      </c>
      <c r="E465" t="s">
        <v>59</v>
      </c>
      <c r="F465" t="s">
        <v>32</v>
      </c>
      <c r="G465">
        <v>6</v>
      </c>
      <c r="H465">
        <v>945</v>
      </c>
      <c r="I465">
        <v>400</v>
      </c>
      <c r="J465">
        <f t="shared" si="28"/>
        <v>5670</v>
      </c>
      <c r="K465">
        <f t="shared" si="29"/>
        <v>2400</v>
      </c>
      <c r="L465">
        <f t="shared" si="30"/>
        <v>3270</v>
      </c>
      <c r="M465" s="9">
        <f t="shared" si="31"/>
        <v>0.57671957671957674</v>
      </c>
    </row>
    <row r="466" spans="1:13" x14ac:dyDescent="0.25">
      <c r="A466" t="s">
        <v>498</v>
      </c>
      <c r="B466" s="1">
        <v>45996</v>
      </c>
      <c r="C466" t="s">
        <v>39</v>
      </c>
      <c r="D466" t="s">
        <v>37</v>
      </c>
      <c r="E466" t="s">
        <v>50</v>
      </c>
      <c r="F466" t="s">
        <v>18</v>
      </c>
      <c r="G466">
        <v>2</v>
      </c>
      <c r="H466">
        <v>24000</v>
      </c>
      <c r="I466">
        <v>18500</v>
      </c>
      <c r="J466">
        <f t="shared" si="28"/>
        <v>48000</v>
      </c>
      <c r="K466">
        <f t="shared" si="29"/>
        <v>37000</v>
      </c>
      <c r="L466">
        <f t="shared" si="30"/>
        <v>11000</v>
      </c>
      <c r="M466" s="9">
        <f t="shared" si="31"/>
        <v>0.22916666666666666</v>
      </c>
    </row>
    <row r="467" spans="1:13" x14ac:dyDescent="0.25">
      <c r="A467" t="s">
        <v>499</v>
      </c>
      <c r="B467" s="1">
        <v>45998</v>
      </c>
      <c r="C467" t="s">
        <v>15</v>
      </c>
      <c r="D467" t="s">
        <v>29</v>
      </c>
      <c r="E467" t="s">
        <v>35</v>
      </c>
      <c r="F467" t="s">
        <v>32</v>
      </c>
      <c r="G467">
        <v>3</v>
      </c>
      <c r="H467">
        <v>2500</v>
      </c>
      <c r="I467">
        <v>1300</v>
      </c>
      <c r="J467">
        <f t="shared" si="28"/>
        <v>7500</v>
      </c>
      <c r="K467">
        <f t="shared" si="29"/>
        <v>3900</v>
      </c>
      <c r="L467">
        <f t="shared" si="30"/>
        <v>3600</v>
      </c>
      <c r="M467" s="9">
        <f t="shared" si="31"/>
        <v>0.48</v>
      </c>
    </row>
    <row r="468" spans="1:13" x14ac:dyDescent="0.25">
      <c r="A468" t="s">
        <v>500</v>
      </c>
      <c r="B468" s="1">
        <v>45998</v>
      </c>
      <c r="C468" t="s">
        <v>25</v>
      </c>
      <c r="D468" t="s">
        <v>26</v>
      </c>
      <c r="E468" t="s">
        <v>27</v>
      </c>
      <c r="F468" t="s">
        <v>23</v>
      </c>
      <c r="G468">
        <v>7</v>
      </c>
      <c r="H468">
        <v>4725</v>
      </c>
      <c r="I468">
        <v>2800</v>
      </c>
      <c r="J468">
        <f t="shared" si="28"/>
        <v>33075</v>
      </c>
      <c r="K468">
        <f t="shared" si="29"/>
        <v>19600</v>
      </c>
      <c r="L468">
        <f t="shared" si="30"/>
        <v>13475</v>
      </c>
      <c r="M468" s="9">
        <f t="shared" si="31"/>
        <v>0.40740740740740738</v>
      </c>
    </row>
    <row r="469" spans="1:13" x14ac:dyDescent="0.25">
      <c r="A469" t="s">
        <v>501</v>
      </c>
      <c r="B469" s="1">
        <v>45999</v>
      </c>
      <c r="C469" t="s">
        <v>15</v>
      </c>
      <c r="D469" t="s">
        <v>11</v>
      </c>
      <c r="E469" t="s">
        <v>35</v>
      </c>
      <c r="F469" t="s">
        <v>32</v>
      </c>
      <c r="G469">
        <v>8</v>
      </c>
      <c r="H469">
        <v>2500</v>
      </c>
      <c r="I469">
        <v>1300</v>
      </c>
      <c r="J469">
        <f t="shared" si="28"/>
        <v>20000</v>
      </c>
      <c r="K469">
        <f t="shared" si="29"/>
        <v>10400</v>
      </c>
      <c r="L469">
        <f t="shared" si="30"/>
        <v>9600</v>
      </c>
      <c r="M469" s="9">
        <f t="shared" si="31"/>
        <v>0.48</v>
      </c>
    </row>
    <row r="470" spans="1:13" x14ac:dyDescent="0.25">
      <c r="A470" t="s">
        <v>502</v>
      </c>
      <c r="B470" s="1">
        <v>45999</v>
      </c>
      <c r="C470" t="s">
        <v>25</v>
      </c>
      <c r="D470" t="s">
        <v>37</v>
      </c>
      <c r="E470" t="s">
        <v>50</v>
      </c>
      <c r="F470" t="s">
        <v>18</v>
      </c>
      <c r="G470">
        <v>4</v>
      </c>
      <c r="H470">
        <v>24000</v>
      </c>
      <c r="I470">
        <v>18500</v>
      </c>
      <c r="J470">
        <f t="shared" si="28"/>
        <v>96000</v>
      </c>
      <c r="K470">
        <f t="shared" si="29"/>
        <v>74000</v>
      </c>
      <c r="L470">
        <f t="shared" si="30"/>
        <v>22000</v>
      </c>
      <c r="M470" s="9">
        <f t="shared" si="31"/>
        <v>0.22916666666666666</v>
      </c>
    </row>
    <row r="471" spans="1:13" x14ac:dyDescent="0.25">
      <c r="A471" t="s">
        <v>503</v>
      </c>
      <c r="B471" s="1">
        <v>45999</v>
      </c>
      <c r="C471" t="s">
        <v>15</v>
      </c>
      <c r="D471" t="s">
        <v>11</v>
      </c>
      <c r="E471" t="s">
        <v>31</v>
      </c>
      <c r="F471" t="s">
        <v>32</v>
      </c>
      <c r="G471">
        <v>6</v>
      </c>
      <c r="H471">
        <v>1200</v>
      </c>
      <c r="I471">
        <v>550</v>
      </c>
      <c r="J471">
        <f t="shared" si="28"/>
        <v>7200</v>
      </c>
      <c r="K471">
        <f t="shared" si="29"/>
        <v>3300</v>
      </c>
      <c r="L471">
        <f t="shared" si="30"/>
        <v>3900</v>
      </c>
      <c r="M471" s="9">
        <f t="shared" si="31"/>
        <v>0.54166666666666663</v>
      </c>
    </row>
    <row r="472" spans="1:13" x14ac:dyDescent="0.25">
      <c r="A472" t="s">
        <v>504</v>
      </c>
      <c r="B472" s="1">
        <v>46000</v>
      </c>
      <c r="C472" t="s">
        <v>15</v>
      </c>
      <c r="D472" t="s">
        <v>16</v>
      </c>
      <c r="E472" t="s">
        <v>27</v>
      </c>
      <c r="F472" t="s">
        <v>23</v>
      </c>
      <c r="G472">
        <v>7</v>
      </c>
      <c r="H472">
        <v>4500</v>
      </c>
      <c r="I472">
        <v>2800</v>
      </c>
      <c r="J472">
        <f t="shared" si="28"/>
        <v>31500</v>
      </c>
      <c r="K472">
        <f t="shared" si="29"/>
        <v>19600</v>
      </c>
      <c r="L472">
        <f t="shared" si="30"/>
        <v>11900</v>
      </c>
      <c r="M472" s="9">
        <f t="shared" si="31"/>
        <v>0.37777777777777777</v>
      </c>
    </row>
    <row r="473" spans="1:13" x14ac:dyDescent="0.25">
      <c r="A473" t="s">
        <v>505</v>
      </c>
      <c r="B473" s="1">
        <v>46000</v>
      </c>
      <c r="C473" t="s">
        <v>15</v>
      </c>
      <c r="D473" t="s">
        <v>11</v>
      </c>
      <c r="E473" t="s">
        <v>59</v>
      </c>
      <c r="F473" t="s">
        <v>32</v>
      </c>
      <c r="G473">
        <v>6</v>
      </c>
      <c r="H473">
        <v>900</v>
      </c>
      <c r="I473">
        <v>400</v>
      </c>
      <c r="J473">
        <f t="shared" si="28"/>
        <v>5400</v>
      </c>
      <c r="K473">
        <f t="shared" si="29"/>
        <v>2400</v>
      </c>
      <c r="L473">
        <f t="shared" si="30"/>
        <v>3000</v>
      </c>
      <c r="M473" s="9">
        <f t="shared" si="31"/>
        <v>0.55555555555555558</v>
      </c>
    </row>
    <row r="474" spans="1:13" x14ac:dyDescent="0.25">
      <c r="A474" t="s">
        <v>506</v>
      </c>
      <c r="B474" s="1">
        <v>46000</v>
      </c>
      <c r="C474" t="s">
        <v>10</v>
      </c>
      <c r="D474" t="s">
        <v>21</v>
      </c>
      <c r="E474" t="s">
        <v>35</v>
      </c>
      <c r="F474" t="s">
        <v>32</v>
      </c>
      <c r="G474">
        <v>7</v>
      </c>
      <c r="H474">
        <v>2500</v>
      </c>
      <c r="I474">
        <v>1300</v>
      </c>
      <c r="J474">
        <f t="shared" si="28"/>
        <v>17500</v>
      </c>
      <c r="K474">
        <f t="shared" si="29"/>
        <v>9100</v>
      </c>
      <c r="L474">
        <f t="shared" si="30"/>
        <v>8400</v>
      </c>
      <c r="M474" s="9">
        <f t="shared" si="31"/>
        <v>0.48</v>
      </c>
    </row>
    <row r="475" spans="1:13" x14ac:dyDescent="0.25">
      <c r="A475" t="s">
        <v>507</v>
      </c>
      <c r="B475" s="1">
        <v>46001</v>
      </c>
      <c r="C475" t="s">
        <v>39</v>
      </c>
      <c r="D475" t="s">
        <v>16</v>
      </c>
      <c r="E475" t="s">
        <v>35</v>
      </c>
      <c r="F475" t="s">
        <v>32</v>
      </c>
      <c r="G475">
        <v>8</v>
      </c>
      <c r="H475">
        <v>2500</v>
      </c>
      <c r="I475">
        <v>1300</v>
      </c>
      <c r="J475">
        <f t="shared" si="28"/>
        <v>20000</v>
      </c>
      <c r="K475">
        <f t="shared" si="29"/>
        <v>10400</v>
      </c>
      <c r="L475">
        <f t="shared" si="30"/>
        <v>9600</v>
      </c>
      <c r="M475" s="9">
        <f t="shared" si="31"/>
        <v>0.48</v>
      </c>
    </row>
    <row r="476" spans="1:13" x14ac:dyDescent="0.25">
      <c r="A476" t="s">
        <v>508</v>
      </c>
      <c r="B476" s="1">
        <v>46003</v>
      </c>
      <c r="C476" t="s">
        <v>39</v>
      </c>
      <c r="D476" t="s">
        <v>26</v>
      </c>
      <c r="E476" t="s">
        <v>31</v>
      </c>
      <c r="F476" t="s">
        <v>32</v>
      </c>
      <c r="G476">
        <v>2</v>
      </c>
      <c r="H476">
        <v>1200</v>
      </c>
      <c r="I476">
        <v>550</v>
      </c>
      <c r="J476">
        <f t="shared" si="28"/>
        <v>2400</v>
      </c>
      <c r="K476">
        <f t="shared" si="29"/>
        <v>1100</v>
      </c>
      <c r="L476">
        <f t="shared" si="30"/>
        <v>1300</v>
      </c>
      <c r="M476" s="9">
        <f t="shared" si="31"/>
        <v>0.54166666666666663</v>
      </c>
    </row>
    <row r="477" spans="1:13" x14ac:dyDescent="0.25">
      <c r="A477" t="s">
        <v>509</v>
      </c>
      <c r="B477" s="1">
        <v>46005</v>
      </c>
      <c r="C477" t="s">
        <v>25</v>
      </c>
      <c r="D477" t="s">
        <v>29</v>
      </c>
      <c r="E477" t="s">
        <v>27</v>
      </c>
      <c r="F477" t="s">
        <v>23</v>
      </c>
      <c r="G477">
        <v>5</v>
      </c>
      <c r="H477">
        <v>4500</v>
      </c>
      <c r="I477">
        <v>2800</v>
      </c>
      <c r="J477">
        <f t="shared" si="28"/>
        <v>22500</v>
      </c>
      <c r="K477">
        <f t="shared" si="29"/>
        <v>14000</v>
      </c>
      <c r="L477">
        <f t="shared" si="30"/>
        <v>8500</v>
      </c>
      <c r="M477" s="9">
        <f t="shared" si="31"/>
        <v>0.37777777777777777</v>
      </c>
    </row>
    <row r="478" spans="1:13" x14ac:dyDescent="0.25">
      <c r="A478" t="s">
        <v>510</v>
      </c>
      <c r="B478" s="1">
        <v>46006</v>
      </c>
      <c r="C478" t="s">
        <v>39</v>
      </c>
      <c r="D478" t="s">
        <v>11</v>
      </c>
      <c r="E478" t="s">
        <v>12</v>
      </c>
      <c r="F478" t="s">
        <v>13</v>
      </c>
      <c r="G478">
        <v>2</v>
      </c>
      <c r="H478">
        <v>22000</v>
      </c>
      <c r="I478">
        <v>15500</v>
      </c>
      <c r="J478">
        <f t="shared" si="28"/>
        <v>44000</v>
      </c>
      <c r="K478">
        <f t="shared" si="29"/>
        <v>31000</v>
      </c>
      <c r="L478">
        <f t="shared" si="30"/>
        <v>13000</v>
      </c>
      <c r="M478" s="9">
        <f t="shared" si="31"/>
        <v>0.29545454545454547</v>
      </c>
    </row>
    <row r="479" spans="1:13" x14ac:dyDescent="0.25">
      <c r="A479" t="s">
        <v>511</v>
      </c>
      <c r="B479" s="1">
        <v>46006</v>
      </c>
      <c r="C479" t="s">
        <v>25</v>
      </c>
      <c r="D479" t="s">
        <v>16</v>
      </c>
      <c r="E479" t="s">
        <v>59</v>
      </c>
      <c r="F479" t="s">
        <v>32</v>
      </c>
      <c r="G479">
        <v>2</v>
      </c>
      <c r="H479">
        <v>900</v>
      </c>
      <c r="I479">
        <v>400</v>
      </c>
      <c r="J479">
        <f t="shared" si="28"/>
        <v>1800</v>
      </c>
      <c r="K479">
        <f t="shared" si="29"/>
        <v>800</v>
      </c>
      <c r="L479">
        <f t="shared" si="30"/>
        <v>1000</v>
      </c>
      <c r="M479" s="9">
        <f t="shared" si="31"/>
        <v>0.55555555555555558</v>
      </c>
    </row>
    <row r="480" spans="1:13" x14ac:dyDescent="0.25">
      <c r="A480" t="s">
        <v>512</v>
      </c>
      <c r="B480" s="1">
        <v>46007</v>
      </c>
      <c r="C480" t="s">
        <v>20</v>
      </c>
      <c r="D480" t="s">
        <v>37</v>
      </c>
      <c r="E480" t="s">
        <v>31</v>
      </c>
      <c r="F480" t="s">
        <v>32</v>
      </c>
      <c r="G480">
        <v>2</v>
      </c>
      <c r="H480">
        <v>1320</v>
      </c>
      <c r="I480">
        <v>550</v>
      </c>
      <c r="J480">
        <f t="shared" si="28"/>
        <v>2640</v>
      </c>
      <c r="K480">
        <f t="shared" si="29"/>
        <v>1100</v>
      </c>
      <c r="L480">
        <f t="shared" si="30"/>
        <v>1540</v>
      </c>
      <c r="M480" s="9">
        <f t="shared" si="31"/>
        <v>0.58333333333333337</v>
      </c>
    </row>
    <row r="481" spans="1:13" x14ac:dyDescent="0.25">
      <c r="A481" t="s">
        <v>513</v>
      </c>
      <c r="B481" s="1">
        <v>46008</v>
      </c>
      <c r="C481" t="s">
        <v>39</v>
      </c>
      <c r="D481" t="s">
        <v>21</v>
      </c>
      <c r="E481" t="s">
        <v>27</v>
      </c>
      <c r="F481" t="s">
        <v>23</v>
      </c>
      <c r="G481">
        <v>2</v>
      </c>
      <c r="H481">
        <v>4500</v>
      </c>
      <c r="I481">
        <v>2800</v>
      </c>
      <c r="J481">
        <f t="shared" si="28"/>
        <v>9000</v>
      </c>
      <c r="K481">
        <f t="shared" si="29"/>
        <v>5600</v>
      </c>
      <c r="L481">
        <f t="shared" si="30"/>
        <v>3400</v>
      </c>
      <c r="M481" s="9">
        <f t="shared" si="31"/>
        <v>0.37777777777777777</v>
      </c>
    </row>
    <row r="482" spans="1:13" x14ac:dyDescent="0.25">
      <c r="A482" t="s">
        <v>514</v>
      </c>
      <c r="B482" s="1">
        <v>46008</v>
      </c>
      <c r="C482" t="s">
        <v>25</v>
      </c>
      <c r="D482" t="s">
        <v>26</v>
      </c>
      <c r="E482" t="s">
        <v>27</v>
      </c>
      <c r="F482" t="s">
        <v>23</v>
      </c>
      <c r="G482">
        <v>6</v>
      </c>
      <c r="H482">
        <v>4500</v>
      </c>
      <c r="I482">
        <v>2800</v>
      </c>
      <c r="J482">
        <f t="shared" si="28"/>
        <v>27000</v>
      </c>
      <c r="K482">
        <f t="shared" si="29"/>
        <v>16800</v>
      </c>
      <c r="L482">
        <f t="shared" si="30"/>
        <v>10200</v>
      </c>
      <c r="M482" s="9">
        <f t="shared" si="31"/>
        <v>0.37777777777777777</v>
      </c>
    </row>
    <row r="483" spans="1:13" x14ac:dyDescent="0.25">
      <c r="A483" t="s">
        <v>515</v>
      </c>
      <c r="B483" s="1">
        <v>46009</v>
      </c>
      <c r="C483" t="s">
        <v>15</v>
      </c>
      <c r="D483" t="s">
        <v>11</v>
      </c>
      <c r="E483" t="s">
        <v>22</v>
      </c>
      <c r="F483" t="s">
        <v>23</v>
      </c>
      <c r="G483">
        <v>2</v>
      </c>
      <c r="H483">
        <v>18900</v>
      </c>
      <c r="I483">
        <v>13500</v>
      </c>
      <c r="J483">
        <f t="shared" si="28"/>
        <v>37800</v>
      </c>
      <c r="K483">
        <f t="shared" si="29"/>
        <v>27000</v>
      </c>
      <c r="L483">
        <f t="shared" si="30"/>
        <v>10800</v>
      </c>
      <c r="M483" s="9">
        <f t="shared" si="31"/>
        <v>0.2857142857142857</v>
      </c>
    </row>
    <row r="484" spans="1:13" x14ac:dyDescent="0.25">
      <c r="A484" t="s">
        <v>516</v>
      </c>
      <c r="B484" s="1">
        <v>46009</v>
      </c>
      <c r="C484" t="s">
        <v>15</v>
      </c>
      <c r="D484" t="s">
        <v>11</v>
      </c>
      <c r="E484" t="s">
        <v>59</v>
      </c>
      <c r="F484" t="s">
        <v>32</v>
      </c>
      <c r="G484">
        <v>1</v>
      </c>
      <c r="H484">
        <v>900</v>
      </c>
      <c r="I484">
        <v>400</v>
      </c>
      <c r="J484">
        <f t="shared" si="28"/>
        <v>900</v>
      </c>
      <c r="K484">
        <f t="shared" si="29"/>
        <v>400</v>
      </c>
      <c r="L484">
        <f t="shared" si="30"/>
        <v>500</v>
      </c>
      <c r="M484" s="9">
        <f t="shared" si="31"/>
        <v>0.55555555555555558</v>
      </c>
    </row>
    <row r="485" spans="1:13" x14ac:dyDescent="0.25">
      <c r="A485" t="s">
        <v>517</v>
      </c>
      <c r="B485" s="1">
        <v>46010</v>
      </c>
      <c r="C485" t="s">
        <v>20</v>
      </c>
      <c r="D485" t="s">
        <v>37</v>
      </c>
      <c r="E485" t="s">
        <v>43</v>
      </c>
      <c r="F485" t="s">
        <v>13</v>
      </c>
      <c r="G485">
        <v>7</v>
      </c>
      <c r="H485">
        <v>12500</v>
      </c>
      <c r="I485">
        <v>8500</v>
      </c>
      <c r="J485">
        <f t="shared" si="28"/>
        <v>87500</v>
      </c>
      <c r="K485">
        <f t="shared" si="29"/>
        <v>59500</v>
      </c>
      <c r="L485">
        <f t="shared" si="30"/>
        <v>28000</v>
      </c>
      <c r="M485" s="9">
        <f t="shared" si="31"/>
        <v>0.32</v>
      </c>
    </row>
    <row r="486" spans="1:13" x14ac:dyDescent="0.25">
      <c r="A486" t="s">
        <v>518</v>
      </c>
      <c r="B486" s="1">
        <v>46011</v>
      </c>
      <c r="C486" t="s">
        <v>39</v>
      </c>
      <c r="D486" t="s">
        <v>29</v>
      </c>
      <c r="E486" t="s">
        <v>22</v>
      </c>
      <c r="F486" t="s">
        <v>23</v>
      </c>
      <c r="G486">
        <v>8</v>
      </c>
      <c r="H486">
        <v>18000</v>
      </c>
      <c r="I486">
        <v>13500</v>
      </c>
      <c r="J486">
        <f t="shared" si="28"/>
        <v>144000</v>
      </c>
      <c r="K486">
        <f t="shared" si="29"/>
        <v>108000</v>
      </c>
      <c r="L486">
        <f t="shared" si="30"/>
        <v>36000</v>
      </c>
      <c r="M486" s="9">
        <f t="shared" si="31"/>
        <v>0.25</v>
      </c>
    </row>
    <row r="487" spans="1:13" x14ac:dyDescent="0.25">
      <c r="A487" t="s">
        <v>519</v>
      </c>
      <c r="B487" s="1">
        <v>46011</v>
      </c>
      <c r="C487" t="s">
        <v>10</v>
      </c>
      <c r="D487" t="s">
        <v>26</v>
      </c>
      <c r="E487" t="s">
        <v>50</v>
      </c>
      <c r="F487" t="s">
        <v>18</v>
      </c>
      <c r="G487">
        <v>7</v>
      </c>
      <c r="H487">
        <v>24000</v>
      </c>
      <c r="I487">
        <v>18500</v>
      </c>
      <c r="J487">
        <f t="shared" si="28"/>
        <v>168000</v>
      </c>
      <c r="K487">
        <f t="shared" si="29"/>
        <v>129500</v>
      </c>
      <c r="L487">
        <f t="shared" si="30"/>
        <v>38500</v>
      </c>
      <c r="M487" s="9">
        <f t="shared" si="31"/>
        <v>0.22916666666666666</v>
      </c>
    </row>
    <row r="488" spans="1:13" x14ac:dyDescent="0.25">
      <c r="A488" t="s">
        <v>520</v>
      </c>
      <c r="B488" s="1">
        <v>46011</v>
      </c>
      <c r="C488" t="s">
        <v>39</v>
      </c>
      <c r="D488" t="s">
        <v>37</v>
      </c>
      <c r="E488" t="s">
        <v>27</v>
      </c>
      <c r="F488" t="s">
        <v>23</v>
      </c>
      <c r="G488">
        <v>7</v>
      </c>
      <c r="H488">
        <v>4500</v>
      </c>
      <c r="I488">
        <v>2800</v>
      </c>
      <c r="J488">
        <f t="shared" si="28"/>
        <v>31500</v>
      </c>
      <c r="K488">
        <f t="shared" si="29"/>
        <v>19600</v>
      </c>
      <c r="L488">
        <f t="shared" si="30"/>
        <v>11900</v>
      </c>
      <c r="M488" s="9">
        <f t="shared" si="31"/>
        <v>0.37777777777777777</v>
      </c>
    </row>
    <row r="489" spans="1:13" x14ac:dyDescent="0.25">
      <c r="A489" t="s">
        <v>521</v>
      </c>
      <c r="B489" s="1">
        <v>46011</v>
      </c>
      <c r="C489" t="s">
        <v>10</v>
      </c>
      <c r="D489" t="s">
        <v>29</v>
      </c>
      <c r="E489" t="s">
        <v>59</v>
      </c>
      <c r="F489" t="s">
        <v>32</v>
      </c>
      <c r="G489">
        <v>1</v>
      </c>
      <c r="H489">
        <v>810</v>
      </c>
      <c r="I489">
        <v>400</v>
      </c>
      <c r="J489">
        <f t="shared" si="28"/>
        <v>810</v>
      </c>
      <c r="K489">
        <f t="shared" si="29"/>
        <v>400</v>
      </c>
      <c r="L489">
        <f t="shared" si="30"/>
        <v>410</v>
      </c>
      <c r="M489" s="9">
        <f t="shared" si="31"/>
        <v>0.50617283950617287</v>
      </c>
    </row>
    <row r="490" spans="1:13" x14ac:dyDescent="0.25">
      <c r="A490" t="s">
        <v>522</v>
      </c>
      <c r="B490" s="1">
        <v>46012</v>
      </c>
      <c r="C490" t="s">
        <v>39</v>
      </c>
      <c r="D490" t="s">
        <v>37</v>
      </c>
      <c r="E490" t="s">
        <v>27</v>
      </c>
      <c r="F490" t="s">
        <v>23</v>
      </c>
      <c r="G490">
        <v>1</v>
      </c>
      <c r="H490">
        <v>4500</v>
      </c>
      <c r="I490">
        <v>2800</v>
      </c>
      <c r="J490">
        <f t="shared" si="28"/>
        <v>4500</v>
      </c>
      <c r="K490">
        <f t="shared" si="29"/>
        <v>2800</v>
      </c>
      <c r="L490">
        <f t="shared" si="30"/>
        <v>1700</v>
      </c>
      <c r="M490" s="9">
        <f t="shared" si="31"/>
        <v>0.37777777777777777</v>
      </c>
    </row>
    <row r="491" spans="1:13" x14ac:dyDescent="0.25">
      <c r="A491" t="s">
        <v>523</v>
      </c>
      <c r="B491" s="1">
        <v>46012</v>
      </c>
      <c r="C491" t="s">
        <v>39</v>
      </c>
      <c r="D491" t="s">
        <v>11</v>
      </c>
      <c r="E491" t="s">
        <v>27</v>
      </c>
      <c r="F491" t="s">
        <v>23</v>
      </c>
      <c r="G491">
        <v>1</v>
      </c>
      <c r="H491">
        <v>4500</v>
      </c>
      <c r="I491">
        <v>2800</v>
      </c>
      <c r="J491">
        <f t="shared" si="28"/>
        <v>4500</v>
      </c>
      <c r="K491">
        <f t="shared" si="29"/>
        <v>2800</v>
      </c>
      <c r="L491">
        <f t="shared" si="30"/>
        <v>1700</v>
      </c>
      <c r="M491" s="9">
        <f t="shared" si="31"/>
        <v>0.37777777777777777</v>
      </c>
    </row>
    <row r="492" spans="1:13" x14ac:dyDescent="0.25">
      <c r="A492" t="s">
        <v>524</v>
      </c>
      <c r="B492" s="1">
        <v>46013</v>
      </c>
      <c r="C492" t="s">
        <v>15</v>
      </c>
      <c r="D492" t="s">
        <v>11</v>
      </c>
      <c r="E492" t="s">
        <v>35</v>
      </c>
      <c r="F492" t="s">
        <v>32</v>
      </c>
      <c r="G492">
        <v>8</v>
      </c>
      <c r="H492">
        <v>2500</v>
      </c>
      <c r="I492">
        <v>1300</v>
      </c>
      <c r="J492">
        <f t="shared" si="28"/>
        <v>20000</v>
      </c>
      <c r="K492">
        <f t="shared" si="29"/>
        <v>10400</v>
      </c>
      <c r="L492">
        <f t="shared" si="30"/>
        <v>9600</v>
      </c>
      <c r="M492" s="9">
        <f t="shared" si="31"/>
        <v>0.48</v>
      </c>
    </row>
    <row r="493" spans="1:13" x14ac:dyDescent="0.25">
      <c r="A493" t="s">
        <v>525</v>
      </c>
      <c r="B493" s="1">
        <v>46013</v>
      </c>
      <c r="C493" t="s">
        <v>25</v>
      </c>
      <c r="D493" t="s">
        <v>29</v>
      </c>
      <c r="E493" t="s">
        <v>78</v>
      </c>
      <c r="F493" t="s">
        <v>23</v>
      </c>
      <c r="G493">
        <v>5</v>
      </c>
      <c r="H493">
        <v>65000</v>
      </c>
      <c r="I493">
        <v>52000</v>
      </c>
      <c r="J493">
        <f t="shared" si="28"/>
        <v>325000</v>
      </c>
      <c r="K493">
        <f t="shared" si="29"/>
        <v>260000</v>
      </c>
      <c r="L493">
        <f t="shared" si="30"/>
        <v>65000</v>
      </c>
      <c r="M493" s="9">
        <f t="shared" si="31"/>
        <v>0.2</v>
      </c>
    </row>
    <row r="494" spans="1:13" x14ac:dyDescent="0.25">
      <c r="A494" t="s">
        <v>526</v>
      </c>
      <c r="B494" s="1">
        <v>46014</v>
      </c>
      <c r="C494" t="s">
        <v>39</v>
      </c>
      <c r="D494" t="s">
        <v>16</v>
      </c>
      <c r="E494" t="s">
        <v>59</v>
      </c>
      <c r="F494" t="s">
        <v>32</v>
      </c>
      <c r="G494">
        <v>7</v>
      </c>
      <c r="H494">
        <v>990</v>
      </c>
      <c r="I494">
        <v>400</v>
      </c>
      <c r="J494">
        <f t="shared" si="28"/>
        <v>6930</v>
      </c>
      <c r="K494">
        <f t="shared" si="29"/>
        <v>2800</v>
      </c>
      <c r="L494">
        <f t="shared" si="30"/>
        <v>4130</v>
      </c>
      <c r="M494" s="9">
        <f t="shared" si="31"/>
        <v>0.59595959595959591</v>
      </c>
    </row>
    <row r="495" spans="1:13" x14ac:dyDescent="0.25">
      <c r="A495" t="s">
        <v>527</v>
      </c>
      <c r="B495" s="1">
        <v>46016</v>
      </c>
      <c r="C495" t="s">
        <v>20</v>
      </c>
      <c r="D495" t="s">
        <v>21</v>
      </c>
      <c r="E495" t="s">
        <v>78</v>
      </c>
      <c r="F495" t="s">
        <v>23</v>
      </c>
      <c r="G495">
        <v>8</v>
      </c>
      <c r="H495">
        <v>71500</v>
      </c>
      <c r="I495">
        <v>52000</v>
      </c>
      <c r="J495">
        <f t="shared" si="28"/>
        <v>572000</v>
      </c>
      <c r="K495">
        <f t="shared" si="29"/>
        <v>416000</v>
      </c>
      <c r="L495">
        <f t="shared" si="30"/>
        <v>156000</v>
      </c>
      <c r="M495" s="9">
        <f t="shared" si="31"/>
        <v>0.27272727272727271</v>
      </c>
    </row>
    <row r="496" spans="1:13" x14ac:dyDescent="0.25">
      <c r="A496" t="s">
        <v>528</v>
      </c>
      <c r="B496" s="1">
        <v>46019</v>
      </c>
      <c r="C496" t="s">
        <v>10</v>
      </c>
      <c r="D496" t="s">
        <v>26</v>
      </c>
      <c r="E496" t="s">
        <v>27</v>
      </c>
      <c r="F496" t="s">
        <v>23</v>
      </c>
      <c r="G496">
        <v>2</v>
      </c>
      <c r="H496">
        <v>4500</v>
      </c>
      <c r="I496">
        <v>2800</v>
      </c>
      <c r="J496">
        <f t="shared" si="28"/>
        <v>9000</v>
      </c>
      <c r="K496">
        <f t="shared" si="29"/>
        <v>5600</v>
      </c>
      <c r="L496">
        <f t="shared" si="30"/>
        <v>3400</v>
      </c>
      <c r="M496" s="9">
        <f t="shared" si="31"/>
        <v>0.37777777777777777</v>
      </c>
    </row>
    <row r="497" spans="1:13" x14ac:dyDescent="0.25">
      <c r="A497" t="s">
        <v>529</v>
      </c>
      <c r="B497" s="1">
        <v>46019</v>
      </c>
      <c r="C497" t="s">
        <v>10</v>
      </c>
      <c r="D497" t="s">
        <v>11</v>
      </c>
      <c r="E497" t="s">
        <v>12</v>
      </c>
      <c r="F497" t="s">
        <v>13</v>
      </c>
      <c r="G497">
        <v>1</v>
      </c>
      <c r="H497">
        <v>19800</v>
      </c>
      <c r="I497">
        <v>15500</v>
      </c>
      <c r="J497">
        <f t="shared" si="28"/>
        <v>19800</v>
      </c>
      <c r="K497">
        <f t="shared" si="29"/>
        <v>15500</v>
      </c>
      <c r="L497">
        <f t="shared" si="30"/>
        <v>4300</v>
      </c>
      <c r="M497" s="9">
        <f t="shared" si="31"/>
        <v>0.21717171717171718</v>
      </c>
    </row>
    <row r="498" spans="1:13" x14ac:dyDescent="0.25">
      <c r="A498" t="s">
        <v>530</v>
      </c>
      <c r="B498" s="1">
        <v>46020</v>
      </c>
      <c r="C498" t="s">
        <v>15</v>
      </c>
      <c r="D498" t="s">
        <v>37</v>
      </c>
      <c r="E498" t="s">
        <v>35</v>
      </c>
      <c r="F498" t="s">
        <v>32</v>
      </c>
      <c r="G498">
        <v>1</v>
      </c>
      <c r="H498">
        <v>2500</v>
      </c>
      <c r="I498">
        <v>1300</v>
      </c>
      <c r="J498">
        <f t="shared" si="28"/>
        <v>2500</v>
      </c>
      <c r="K498">
        <f t="shared" si="29"/>
        <v>1300</v>
      </c>
      <c r="L498">
        <f t="shared" si="30"/>
        <v>1200</v>
      </c>
      <c r="M498" s="9">
        <f t="shared" si="31"/>
        <v>0.48</v>
      </c>
    </row>
    <row r="499" spans="1:13" x14ac:dyDescent="0.25">
      <c r="A499" t="s">
        <v>531</v>
      </c>
      <c r="B499" s="1">
        <v>46020</v>
      </c>
      <c r="C499" t="s">
        <v>15</v>
      </c>
      <c r="D499" t="s">
        <v>29</v>
      </c>
      <c r="E499" t="s">
        <v>12</v>
      </c>
      <c r="F499" t="s">
        <v>13</v>
      </c>
      <c r="G499">
        <v>2</v>
      </c>
      <c r="H499">
        <v>23100</v>
      </c>
      <c r="I499">
        <v>15500</v>
      </c>
      <c r="J499">
        <f t="shared" si="28"/>
        <v>46200</v>
      </c>
      <c r="K499">
        <f t="shared" si="29"/>
        <v>31000</v>
      </c>
      <c r="L499">
        <f t="shared" si="30"/>
        <v>15200</v>
      </c>
      <c r="M499" s="9">
        <f t="shared" si="31"/>
        <v>0.32900432900432902</v>
      </c>
    </row>
    <row r="500" spans="1:13" x14ac:dyDescent="0.25">
      <c r="A500" t="s">
        <v>532</v>
      </c>
      <c r="B500" s="1">
        <v>46021</v>
      </c>
      <c r="C500" t="s">
        <v>15</v>
      </c>
      <c r="D500" t="s">
        <v>16</v>
      </c>
      <c r="E500" t="s">
        <v>35</v>
      </c>
      <c r="F500" t="s">
        <v>32</v>
      </c>
      <c r="G500">
        <v>1</v>
      </c>
      <c r="H500">
        <v>2500</v>
      </c>
      <c r="I500">
        <v>1300</v>
      </c>
      <c r="J500">
        <f t="shared" si="28"/>
        <v>2500</v>
      </c>
      <c r="K500">
        <f t="shared" si="29"/>
        <v>1300</v>
      </c>
      <c r="L500">
        <f t="shared" si="30"/>
        <v>1200</v>
      </c>
      <c r="M500" s="9">
        <f t="shared" si="31"/>
        <v>0.48</v>
      </c>
    </row>
    <row r="501" spans="1:13" x14ac:dyDescent="0.25">
      <c r="A501" t="s">
        <v>533</v>
      </c>
      <c r="B501" s="1">
        <v>46022</v>
      </c>
      <c r="C501" t="s">
        <v>39</v>
      </c>
      <c r="D501" t="s">
        <v>16</v>
      </c>
      <c r="E501" t="s">
        <v>35</v>
      </c>
      <c r="F501" t="s">
        <v>32</v>
      </c>
      <c r="G501">
        <v>2</v>
      </c>
      <c r="H501">
        <v>2500</v>
      </c>
      <c r="I501">
        <v>1300</v>
      </c>
      <c r="J501">
        <f t="shared" si="28"/>
        <v>5000</v>
      </c>
      <c r="K501">
        <f t="shared" si="29"/>
        <v>2600</v>
      </c>
      <c r="L501">
        <f t="shared" si="30"/>
        <v>2400</v>
      </c>
      <c r="M501" s="9">
        <f t="shared" si="31"/>
        <v>0.48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4"/>
  <sheetViews>
    <sheetView workbookViewId="0">
      <pane ySplit="1" topLeftCell="A6" activePane="bottomLeft" state="frozen"/>
      <selection pane="bottomLeft"/>
    </sheetView>
  </sheetViews>
  <sheetFormatPr defaultRowHeight="15" x14ac:dyDescent="0.25"/>
  <cols>
    <col min="1" max="1" width="105" customWidth="1"/>
  </cols>
  <sheetData>
    <row r="1" spans="1:1" x14ac:dyDescent="0.25">
      <c r="A1" s="2" t="s">
        <v>534</v>
      </c>
    </row>
    <row r="2" spans="1:1" ht="32.1" customHeight="1" x14ac:dyDescent="0.25">
      <c r="A2" s="3" t="s">
        <v>535</v>
      </c>
    </row>
    <row r="3" spans="1:1" ht="32.1" customHeight="1" x14ac:dyDescent="0.25">
      <c r="A3" s="3" t="s">
        <v>536</v>
      </c>
    </row>
    <row r="4" spans="1:1" ht="32.1" customHeight="1" x14ac:dyDescent="0.25">
      <c r="A4" s="3" t="s">
        <v>537</v>
      </c>
    </row>
    <row r="5" spans="1:1" ht="32.1" customHeight="1" x14ac:dyDescent="0.25">
      <c r="A5" s="3" t="s">
        <v>538</v>
      </c>
    </row>
    <row r="6" spans="1:1" ht="32.1" customHeight="1" x14ac:dyDescent="0.25">
      <c r="A6" s="3" t="s">
        <v>539</v>
      </c>
    </row>
    <row r="7" spans="1:1" ht="32.1" customHeight="1" x14ac:dyDescent="0.25">
      <c r="A7" s="3" t="s">
        <v>540</v>
      </c>
    </row>
    <row r="8" spans="1:1" ht="32.1" customHeight="1" x14ac:dyDescent="0.25">
      <c r="A8" s="3" t="s">
        <v>541</v>
      </c>
    </row>
    <row r="9" spans="1:1" ht="32.1" customHeight="1" x14ac:dyDescent="0.25">
      <c r="A9" s="3" t="s">
        <v>542</v>
      </c>
    </row>
    <row r="10" spans="1:1" ht="32.1" customHeight="1" x14ac:dyDescent="0.25">
      <c r="A10" s="3" t="s">
        <v>543</v>
      </c>
    </row>
    <row r="11" spans="1:1" ht="32.1" customHeight="1" x14ac:dyDescent="0.25">
      <c r="A11" s="3" t="s">
        <v>544</v>
      </c>
    </row>
    <row r="12" spans="1:1" ht="32.1" customHeight="1" x14ac:dyDescent="0.25">
      <c r="A12" s="3" t="s">
        <v>545</v>
      </c>
    </row>
    <row r="13" spans="1:1" ht="32.1" customHeight="1" x14ac:dyDescent="0.25">
      <c r="A13" s="3" t="s">
        <v>546</v>
      </c>
    </row>
    <row r="14" spans="1:1" ht="32.1" customHeight="1" x14ac:dyDescent="0.25">
      <c r="A14" s="3" t="s">
        <v>547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25">
      <c r="A2" s="5" t="s">
        <v>9</v>
      </c>
      <c r="B2" s="6">
        <v>45659</v>
      </c>
      <c r="C2" s="5" t="s">
        <v>10</v>
      </c>
      <c r="D2" s="5" t="s">
        <v>11</v>
      </c>
      <c r="E2" s="5" t="s">
        <v>12</v>
      </c>
      <c r="F2" s="5" t="s">
        <v>13</v>
      </c>
      <c r="G2" s="5">
        <v>1</v>
      </c>
      <c r="H2" s="5">
        <v>22000</v>
      </c>
      <c r="I2" s="5">
        <v>15500</v>
      </c>
    </row>
    <row r="3" spans="1:9" x14ac:dyDescent="0.25">
      <c r="A3" s="5" t="s">
        <v>14</v>
      </c>
      <c r="B3" s="6">
        <v>45660</v>
      </c>
      <c r="C3" s="5" t="s">
        <v>15</v>
      </c>
      <c r="D3" s="5" t="s">
        <v>16</v>
      </c>
      <c r="E3" s="5" t="s">
        <v>17</v>
      </c>
      <c r="F3" s="5" t="s">
        <v>18</v>
      </c>
      <c r="G3" s="5">
        <v>6</v>
      </c>
      <c r="H3" s="5">
        <v>450</v>
      </c>
      <c r="I3" s="5">
        <v>230</v>
      </c>
    </row>
    <row r="4" spans="1:9" x14ac:dyDescent="0.25">
      <c r="A4" s="5" t="s">
        <v>19</v>
      </c>
      <c r="B4" s="6">
        <v>45660</v>
      </c>
      <c r="C4" s="5" t="s">
        <v>20</v>
      </c>
      <c r="D4" s="5" t="s">
        <v>21</v>
      </c>
      <c r="E4" s="5" t="s">
        <v>22</v>
      </c>
      <c r="F4" s="5" t="s">
        <v>23</v>
      </c>
      <c r="G4" s="5">
        <v>6</v>
      </c>
      <c r="H4" s="5">
        <v>18000</v>
      </c>
      <c r="I4" s="5">
        <v>13500</v>
      </c>
    </row>
    <row r="5" spans="1:9" x14ac:dyDescent="0.25">
      <c r="A5" s="5" t="s">
        <v>24</v>
      </c>
      <c r="B5" s="6">
        <v>45661</v>
      </c>
      <c r="C5" s="5" t="s">
        <v>25</v>
      </c>
      <c r="D5" s="5" t="s">
        <v>26</v>
      </c>
      <c r="E5" s="5" t="s">
        <v>27</v>
      </c>
      <c r="F5" s="5" t="s">
        <v>23</v>
      </c>
      <c r="G5" s="5">
        <v>7</v>
      </c>
      <c r="H5" s="5">
        <v>4500</v>
      </c>
      <c r="I5" s="5">
        <v>2800</v>
      </c>
    </row>
    <row r="6" spans="1:9" x14ac:dyDescent="0.25">
      <c r="A6" s="5" t="s">
        <v>28</v>
      </c>
      <c r="B6" s="6">
        <v>45663</v>
      </c>
      <c r="C6" s="5" t="s">
        <v>25</v>
      </c>
      <c r="D6" s="5" t="s">
        <v>29</v>
      </c>
      <c r="E6" s="5" t="s">
        <v>22</v>
      </c>
      <c r="F6" s="5" t="s">
        <v>23</v>
      </c>
      <c r="G6" s="5">
        <v>4</v>
      </c>
      <c r="H6" s="5">
        <v>18900</v>
      </c>
      <c r="I6" s="5">
        <v>13500</v>
      </c>
    </row>
    <row r="7" spans="1:9" x14ac:dyDescent="0.25">
      <c r="A7" s="5" t="s">
        <v>30</v>
      </c>
      <c r="B7" s="6">
        <v>45664</v>
      </c>
      <c r="C7" s="5" t="s">
        <v>15</v>
      </c>
      <c r="D7" s="5" t="s">
        <v>21</v>
      </c>
      <c r="E7" s="5" t="s">
        <v>31</v>
      </c>
      <c r="F7" s="5" t="s">
        <v>32</v>
      </c>
      <c r="G7" s="5">
        <v>7</v>
      </c>
      <c r="H7" s="5">
        <v>1200</v>
      </c>
      <c r="I7" s="5">
        <v>550</v>
      </c>
    </row>
    <row r="8" spans="1:9" x14ac:dyDescent="0.25">
      <c r="A8" s="5" t="s">
        <v>33</v>
      </c>
      <c r="B8" s="6">
        <v>45664</v>
      </c>
      <c r="C8" s="5" t="s">
        <v>10</v>
      </c>
      <c r="D8" s="5" t="s">
        <v>21</v>
      </c>
      <c r="E8" s="5" t="s">
        <v>31</v>
      </c>
      <c r="F8" s="5" t="s">
        <v>32</v>
      </c>
      <c r="G8" s="5">
        <v>4</v>
      </c>
      <c r="H8" s="5">
        <v>1260</v>
      </c>
      <c r="I8" s="5">
        <v>550</v>
      </c>
    </row>
    <row r="9" spans="1:9" x14ac:dyDescent="0.25">
      <c r="A9" s="5" t="s">
        <v>34</v>
      </c>
      <c r="B9" s="6">
        <v>45665</v>
      </c>
      <c r="C9" s="5" t="s">
        <v>15</v>
      </c>
      <c r="D9" s="5" t="s">
        <v>29</v>
      </c>
      <c r="E9" s="5" t="s">
        <v>35</v>
      </c>
      <c r="F9" s="5" t="s">
        <v>32</v>
      </c>
      <c r="G9" s="5">
        <v>6</v>
      </c>
      <c r="H9" s="5">
        <v>2500</v>
      </c>
      <c r="I9" s="5">
        <v>1300</v>
      </c>
    </row>
    <row r="10" spans="1:9" x14ac:dyDescent="0.25">
      <c r="A10" s="5" t="s">
        <v>36</v>
      </c>
      <c r="B10" s="6">
        <v>45665</v>
      </c>
      <c r="C10" s="5" t="s">
        <v>15</v>
      </c>
      <c r="D10" s="5" t="s">
        <v>37</v>
      </c>
      <c r="E10" s="5" t="s">
        <v>27</v>
      </c>
      <c r="F10" s="5" t="s">
        <v>23</v>
      </c>
      <c r="G10" s="5">
        <v>3</v>
      </c>
      <c r="H10" s="5">
        <v>4500</v>
      </c>
      <c r="I10" s="5">
        <v>2800</v>
      </c>
    </row>
    <row r="11" spans="1:9" x14ac:dyDescent="0.25">
      <c r="A11" s="5" t="s">
        <v>38</v>
      </c>
      <c r="B11" s="6">
        <v>45666</v>
      </c>
      <c r="C11" s="5" t="s">
        <v>39</v>
      </c>
      <c r="D11" s="5" t="s">
        <v>16</v>
      </c>
      <c r="E11" s="5" t="s">
        <v>22</v>
      </c>
      <c r="F11" s="5" t="s">
        <v>23</v>
      </c>
      <c r="G11" s="5">
        <v>1</v>
      </c>
      <c r="H11" s="5">
        <v>18000</v>
      </c>
      <c r="I11" s="5">
        <v>13500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Sales_Data</vt:lpstr>
      <vt:lpstr>Read_Me</vt:lpstr>
      <vt:lpstr>Preview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Joseph Brown</cp:lastModifiedBy>
  <dcterms:created xsi:type="dcterms:W3CDTF">2026-10-28T09:26:26Z</dcterms:created>
  <dcterms:modified xsi:type="dcterms:W3CDTF">2026-10-28T12:54:49Z</dcterms:modified>
</cp:coreProperties>
</file>